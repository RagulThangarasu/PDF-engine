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cases" sheetId="2" state="visible" r:id="rId2"/>
    <sheet name="Coverage" sheetId="3" state="visible" r:id="rId3"/>
  </sheets>
  <definedNames>
    <definedName name="_xlnm._FilterDatabase" localSheetId="1" hidden="1">'Test cases'!$A$1:$N$50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sz val="10"/>
    </font>
    <font>
      <name val="Arial"/>
      <sz val="10"/>
    </font>
    <font>
      <name val="Arial"/>
      <b val="1"/>
      <color rgb="00FFFFFF"/>
      <sz val="10"/>
    </font>
    <font>
      <name val="Arial"/>
      <b val="1"/>
      <color rgb="00C00000"/>
      <sz val="10"/>
    </font>
    <font>
      <name val="Arial"/>
      <i val="1"/>
      <color rgb="00666666"/>
      <sz val="9"/>
    </font>
  </fonts>
  <fills count="6">
    <fill>
      <patternFill/>
    </fill>
    <fill>
      <patternFill patternType="gray125"/>
    </fill>
    <fill>
      <patternFill patternType="solid">
        <fgColor rgb="00FFFF00"/>
      </patternFill>
    </fill>
    <fill>
      <patternFill patternType="solid">
        <fgColor rgb="00E2EFDA"/>
      </patternFill>
    </fill>
    <fill>
      <patternFill patternType="solid">
        <fgColor rgb="00FCE4D6"/>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4" fillId="5" borderId="0" applyAlignment="1" pivotButton="0" quotePrefix="0" xfId="0">
      <alignment horizontal="center"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4"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6" fillId="0" borderId="0" pivotButton="0" quotePrefix="0" xfId="0"/>
    <xf numFmtId="0" fontId="3" fillId="0" borderId="1" pivotButton="0" quotePrefix="0" xfId="0"/>
    <xf numFmtId="0" fontId="3" fillId="0"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2" fillId="0" borderId="0" pivotButton="0" quotePrefix="0" xfId="0"/>
    <xf numFmtId="0" fontId="3"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05" customWidth="1" min="2" max="2"/>
  </cols>
  <sheetData>
    <row r="1">
      <c r="A1" s="1" t="inlineStr">
        <is>
          <t>PDF Comparison Engine - QA Test Cases</t>
        </is>
      </c>
    </row>
    <row r="3">
      <c r="A3" s="2" t="inlineStr">
        <is>
          <t>Scope</t>
        </is>
      </c>
      <c r="B3" s="3" t="inlineStr">
        <is>
          <t>Every comparison rule added or changed in the 2026-09-20/21 working session: image highlighting, five classes of false content difference, highlight placement, severity handling, text-encoding findings, broken icons, scroll mirroring, the Ollama AI review, and the rebuilt TOC structure comparison.</t>
        </is>
      </c>
    </row>
    <row r="4">
      <c r="A4" s="2" t="inlineStr">
        <is>
          <t>Cases</t>
        </is>
      </c>
      <c r="B4" s="3" t="inlineStr">
        <is>
          <t>49 cases on the 'Test cases' tab.</t>
        </is>
      </c>
    </row>
    <row r="5">
      <c r="A5" s="2" t="inlineStr">
        <is>
          <t>How to run a comparison</t>
        </is>
      </c>
      <c r="B5" s="3" t="inlineStr">
        <is>
          <t>python3 -m pdfval.cli &lt;production.pdf&gt; &lt;staging.pdf&gt; -o &lt;out_dir&gt;
Then open &lt;out_dir&gt;/pdf.html (findings), &lt;out_dir&gt;/toc.html (structure).</t>
        </is>
      </c>
    </row>
    <row r="6">
      <c r="A6" s="2" t="inlineStr">
        <is>
          <t>How to run the automated tests</t>
        </is>
      </c>
      <c r="B6" s="3" t="inlineStr">
        <is>
          <t>python3 -m pytest tests -q   (expected: 101 passed)</t>
        </is>
      </c>
    </row>
    <row r="7">
      <c r="A7" s="2" t="inlineStr">
        <is>
          <t>Reference pair A</t>
        </is>
      </c>
      <c r="B7" s="3" t="inlineStr">
        <is>
          <t>Production: XQ2566X-en.pdf (59 pages) / Staging: Monitor XQ2566X user manual (10).pdf (52 pages).
Saved in the repo at runs/ce5655a6b44f43889bc78dc3bbf7669f/uploads/expected.pdf and actual.pdf.
Baseline at the time of writing: 46 findings total (content 18, images 11, links 11, lists 2, bold 2, formatting 2); TOC 47 matching / 34 not matching.</t>
        </is>
      </c>
    </row>
    <row r="8">
      <c r="A8" s="2" t="inlineStr">
        <is>
          <t>Fixture pairs</t>
        </is>
      </c>
      <c r="B8" s="3" t="inlineStr">
        <is>
          <t>tests/fixtures/*.pdf - small purpose-built pairs used by the automated tests.</t>
        </is>
      </c>
    </row>
    <row r="9">
      <c r="A9" s="4" t="n"/>
      <c r="B9" s="4" t="n"/>
    </row>
    <row r="10">
      <c r="A10" s="2" t="inlineStr">
        <is>
          <t>Legend</t>
        </is>
      </c>
      <c r="B10" s="3" t="n"/>
    </row>
    <row r="11">
      <c r="A11" s="2" t="inlineStr">
        <is>
          <t>Yellow cells</t>
        </is>
      </c>
      <c r="B11" s="5" t="inlineStr">
        <is>
          <t>Fill these in: Result, Tested by, Date, Actual / notes.</t>
        </is>
      </c>
    </row>
    <row r="12">
      <c r="A12" s="2" t="inlineStr">
        <is>
          <t>Green 'Automated coverage'</t>
        </is>
      </c>
      <c r="B12" s="6" t="inlineStr">
        <is>
          <t>An automated test already proves this rule - run it, do not re-test by hand.</t>
        </is>
      </c>
    </row>
    <row r="13">
      <c r="A13" s="2" t="inlineStr">
        <is>
          <t>Orange 'Automated coverage'</t>
        </is>
      </c>
      <c r="B13" s="7" t="inlineStr">
        <is>
          <t>Manual only today. A 'regression candidate' note means it is cheap to automate next.</t>
        </is>
      </c>
    </row>
    <row r="14">
      <c r="A14" s="2" t="inlineStr">
        <is>
          <t>'Must NOT happen' column</t>
        </is>
      </c>
      <c r="B14" s="3" t="inlineStr">
        <is>
          <t>Most of these rules exist to REMOVE false reports. The negative check is the real test: a case passes only when the wrong finding is absent AND the right one is still present.</t>
        </is>
      </c>
    </row>
    <row r="15">
      <c r="A15" s="4" t="n"/>
      <c r="B15" s="4" t="n"/>
    </row>
    <row r="16">
      <c r="A16" s="2" t="inlineStr">
        <is>
          <t>Result values</t>
        </is>
      </c>
      <c r="B16" s="3" t="inlineStr">
        <is>
          <t>Pass / Fail / Blocked / Not run</t>
        </is>
      </c>
    </row>
    <row r="17">
      <c r="A17" s="2" t="inlineStr">
        <is>
          <t>Known defect</t>
        </is>
      </c>
      <c r="B17" s="3" t="inlineStr">
        <is>
          <t>Two runs of the same pair have produced different issue counts (58 vs 46), differing only in 'List marker missing in Staging' findings. See QA-049. Until fixed, re-run before raising a count mismatch as a new bug.</t>
        </is>
      </c>
    </row>
    <row r="18">
      <c r="A18" s="4" t="n"/>
      <c r="B18"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9" customWidth="1" min="4" max="4"/>
    <col width="46" customWidth="1" min="5" max="5"/>
    <col width="54" customWidth="1" min="6" max="6"/>
    <col width="56" customWidth="1" min="7" max="7"/>
    <col width="46" customWidth="1" min="8" max="8"/>
    <col width="40" customWidth="1" min="9" max="9"/>
    <col width="44" customWidth="1" min="10" max="10"/>
    <col width="12" customWidth="1" min="11" max="11"/>
    <col width="14" customWidth="1" min="12" max="12"/>
    <col width="12" customWidth="1" min="13" max="13"/>
    <col width="34" customWidth="1" min="14" max="14"/>
  </cols>
  <sheetData>
    <row r="1" ht="30" customHeight="1">
      <c r="A1" s="8" t="inlineStr">
        <is>
          <t>Test ID</t>
        </is>
      </c>
      <c r="B1" s="8" t="inlineStr">
        <is>
          <t>Area</t>
        </is>
      </c>
      <c r="C1" s="8" t="inlineStr">
        <is>
          <t>Rule under test</t>
        </is>
      </c>
      <c r="D1" s="8" t="inlineStr">
        <is>
          <t>Priority</t>
        </is>
      </c>
      <c r="E1" s="8" t="inlineStr">
        <is>
          <t>Preconditions / test data</t>
        </is>
      </c>
      <c r="F1" s="8" t="inlineStr">
        <is>
          <t>Steps</t>
        </is>
      </c>
      <c r="G1" s="8" t="inlineStr">
        <is>
          <t>Expected result</t>
        </is>
      </c>
      <c r="H1" s="8" t="inlineStr">
        <is>
          <t>Must NOT happen</t>
        </is>
      </c>
      <c r="I1" s="8" t="inlineStr">
        <is>
          <t>Automated coverage</t>
        </is>
      </c>
      <c r="J1" s="8" t="inlineStr">
        <is>
          <t>Code reference</t>
        </is>
      </c>
      <c r="K1" s="8" t="inlineStr">
        <is>
          <t>Result</t>
        </is>
      </c>
      <c r="L1" s="8" t="inlineStr">
        <is>
          <t>Tested by</t>
        </is>
      </c>
      <c r="M1" s="8" t="inlineStr">
        <is>
          <t>Date</t>
        </is>
      </c>
      <c r="N1" s="8" t="inlineStr">
        <is>
          <t>Actual / notes</t>
        </is>
      </c>
    </row>
    <row r="2" ht="86" customHeight="1">
      <c r="A2" s="9" t="inlineStr">
        <is>
          <t>QA-001</t>
        </is>
      </c>
      <c r="B2" s="9" t="inlineStr">
        <is>
          <t>Image highlighting</t>
        </is>
      </c>
      <c r="C2" s="9" t="inlineStr">
        <is>
          <t>A figure difference is outlined in red, never filled with a red tint</t>
        </is>
      </c>
      <c r="D2" s="10" t="inlineStr">
        <is>
          <t>High</t>
        </is>
      </c>
      <c r="E2" s="9" t="inlineStr">
        <is>
          <t>Reference pair A: Production XQ2566X-en.pdf (59 pp) vs Staging Monitor XQ2566X user manual (10).pdf (52 pp), saved at runs/ce5655a6b44f43889bc78dc3bbf7669f/uploads/expected.pdf and actual.pdf. Run: python3 -m pdfval.cli &lt;production.pdf&gt; &lt;staging.pdf&gt; -o &lt;out_dir&gt;, then open &lt;out_dir&gt;/pdf.html</t>
        </is>
      </c>
      <c r="F2" s="9" t="inlineStr">
        <is>
          <t>1. Open pdf.html.
2. Filter the issue list to the Images category.
3. Select any figure finding (e.g. 'Figure oversized in Staging').
4. Inspect the box drawn on the figure in both panes.</t>
        </is>
      </c>
      <c r="G2" s="9" t="inlineStr">
        <is>
          <t>The figure is surrounded by a red outline (2px, colour #c0392b) with a fully transparent interior. The artwork stays completely visible through the box.</t>
        </is>
      </c>
      <c r="H2" s="9" t="inlineStr">
        <is>
          <t>No pink/red wash over the artwork; the box is not blue.</t>
        </is>
      </c>
      <c r="I2" s="11" t="inlineStr">
        <is>
          <t>Manual only</t>
        </is>
      </c>
      <c r="J2" s="9" t="inlineStr">
        <is>
          <t>pdfval/report/screenshots.py KIND_IMAGE; pdfval/report/templates/pdf_template.html .box.imgbox</t>
        </is>
      </c>
      <c r="K2" s="12" t="n"/>
      <c r="L2" s="12" t="n"/>
      <c r="M2" s="12" t="n"/>
      <c r="N2" s="12" t="n"/>
    </row>
    <row r="3" ht="86" customHeight="1">
      <c r="A3" s="9" t="inlineStr">
        <is>
          <t>QA-002</t>
        </is>
      </c>
      <c r="B3" s="9" t="inlineStr">
        <is>
          <t>Image highlighting</t>
        </is>
      </c>
      <c r="C3" s="9" t="inlineStr">
        <is>
          <t>Figure close-up crops use the outline style, not the fill style</t>
        </is>
      </c>
      <c r="D3" s="9" t="inlineStr">
        <is>
          <t>Medium</t>
        </is>
      </c>
      <c r="E3" s="9" t="inlineStr">
        <is>
          <t>Reference pair A: Production XQ2566X-en.pdf (59 pp) vs Staging Monitor XQ2566X user manual (10).pdf (52 pp), saved at runs/ce5655a6b44f43889bc78dc3bbf7669f/uploads/expected.pdf and actual.pdf. Run: python3 -m pdfval.cli &lt;production.pdf&gt; &lt;staging.pdf&gt; -o &lt;out_dir&gt;, then open &lt;out_dir&gt;/pdf.html</t>
        </is>
      </c>
      <c r="F3" s="9" t="inlineStr">
        <is>
          <t>1. Open the issues report / chapter report close-up crops for an image finding.
2. Compare the Production and Staging crops.</t>
        </is>
      </c>
      <c r="G3" s="9" t="inlineStr">
        <is>
          <t>Both crops show a red rectangle around the figure with no fill, and the same number badge on each side.</t>
        </is>
      </c>
      <c r="H3" s="9" t="inlineStr">
        <is>
          <t>The crop must not be tinted red over the picture.</t>
        </is>
      </c>
      <c r="I3" s="11" t="inlineStr">
        <is>
          <t>Manual only</t>
        </is>
      </c>
      <c r="J3" s="9" t="inlineStr">
        <is>
          <t>pdfval/validators/image.py:1586 screenshots.KIND_IMAGE</t>
        </is>
      </c>
      <c r="K3" s="12" t="n"/>
      <c r="L3" s="12" t="n"/>
      <c r="M3" s="12" t="n"/>
      <c r="N3" s="12" t="n"/>
    </row>
    <row r="4" ht="86" customHeight="1">
      <c r="A4" s="9" t="inlineStr">
        <is>
          <t>QA-003</t>
        </is>
      </c>
      <c r="B4" s="9" t="inlineStr">
        <is>
          <t>Image highlighting</t>
        </is>
      </c>
      <c r="C4" s="9" t="inlineStr">
        <is>
          <t>A chapter difference in the image category is boxed, not tinted</t>
        </is>
      </c>
      <c r="D4" s="9" t="inlineStr">
        <is>
          <t>Medium</t>
        </is>
      </c>
      <c r="E4" s="9" t="inlineStr">
        <is>
          <t>Reference pair A: Production XQ2566X-en.pdf (59 pp) vs Staging Monitor XQ2566X user manual (10).pdf (52 pp), saved at runs/ce5655a6b44f43889bc78dc3bbf7669f/uploads/expected.pdf and actual.pdf. Run: python3 -m pdfval.cli &lt;production.pdf&gt; &lt;staging.pdf&gt; -o &lt;out_dir&gt;, then open &lt;out_dir&gt;/pdf.html</t>
        </is>
      </c>
      <c r="F4" s="9" t="inlineStr">
        <is>
          <t>1. Open the chapter report.
2. Find a difference of type figure-missing / figure-size / figure-content.
3. Inspect the page render and the per-issue crop.</t>
        </is>
      </c>
      <c r="G4" s="9" t="inlineStr">
        <is>
          <t>Both the full-page render and the crop draw the figure with a red outline only.</t>
        </is>
      </c>
      <c r="H4" s="9" t="inlineStr">
        <is>
          <t>No fill over any figure.</t>
        </is>
      </c>
      <c r="I4" s="11" t="inlineStr">
        <is>
          <t>Manual only</t>
        </is>
      </c>
      <c r="J4" s="9" t="inlineStr">
        <is>
          <t>pdfval/report/chapters.py:308 and :455</t>
        </is>
      </c>
      <c r="K4" s="12" t="n"/>
      <c r="L4" s="12" t="n"/>
      <c r="M4" s="12" t="n"/>
      <c r="N4" s="12" t="n"/>
    </row>
    <row r="5" ht="86" customHeight="1">
      <c r="A5" s="9" t="inlineStr">
        <is>
          <t>QA-004</t>
        </is>
      </c>
      <c r="B5" s="9" t="inlineStr">
        <is>
          <t>False positives - bullets</t>
        </is>
      </c>
      <c r="C5" s="9" t="inlineStr">
        <is>
          <t>A change that is only the bullet glyph is not a content difference</t>
        </is>
      </c>
      <c r="D5" s="10" t="inlineStr">
        <is>
          <t>High</t>
        </is>
      </c>
      <c r="E5" s="9" t="inlineStr">
        <is>
          <t>A pair where Production marks list items with U+2022 and Staging with U+25CF, same wording. Reference: Pair A, Receiver Firmware Upgrade section.</t>
        </is>
      </c>
      <c r="F5" s="9" t="inlineStr">
        <is>
          <t>1. Run the comparison.
2. Search the issue list for 'Symbol changed' and for content findings on the bulleted note.
3. Confirm the bullet-style finding is present.</t>
        </is>
      </c>
      <c r="G5" s="9" t="inlineStr">
        <is>
          <t>Exactly one finding: 'Bullet style changed in Staging - Production marks list items with the one glyph, Staging with the other'. No content/symbol finding for the same bullets.</t>
        </is>
      </c>
      <c r="H5" s="9" t="inlineStr">
        <is>
          <t>No 'Symbol changed' or 'Punctuation changed' finding whose only differing characters are bullet glyphs.</t>
        </is>
      </c>
      <c r="I5" s="11" t="inlineStr">
        <is>
          <t>Manual only</t>
        </is>
      </c>
      <c r="J5" s="9" t="inlineStr">
        <is>
          <t>pdfval/validators/chapter.py _only_bullet_glyphs</t>
        </is>
      </c>
      <c r="K5" s="12" t="n"/>
      <c r="L5" s="12" t="n"/>
      <c r="M5" s="12" t="n"/>
      <c r="N5" s="12" t="n"/>
    </row>
    <row r="6" ht="86" customHeight="1">
      <c r="A6" s="9" t="inlineStr">
        <is>
          <t>QA-005</t>
        </is>
      </c>
      <c r="B6" s="9" t="inlineStr">
        <is>
          <t>False positives - list markers</t>
        </is>
      </c>
      <c r="C6" s="9" t="inlineStr">
        <is>
          <t>A list number set tight against its text is not a wording change</t>
        </is>
      </c>
      <c r="D6" s="10" t="inlineStr">
        <is>
          <t>High</t>
        </is>
      </c>
      <c r="E6" s="9" t="inlineStr">
        <is>
          <t>Production prints '2.Remove the monitor stand.' and Staging '2. Remove the monitor stand.' (Pair A, Production p.20 vs Staging p.20).</t>
        </is>
      </c>
      <c r="F6" s="9" t="inlineStr">
        <is>
          <t>1. Run the comparison.
2. Search the issue list for 'Remove the monitor stand'.</t>
        </is>
      </c>
      <c r="G6" s="9" t="inlineStr">
        <is>
          <t>No finding at all for this heading.</t>
        </is>
      </c>
      <c r="H6" s="9" t="inlineStr">
        <is>
          <t>No 'Heading content changed' finding, and no 'Between “2” and “Remove”: extra space in Staging' spacing finding.</t>
        </is>
      </c>
      <c r="I6" s="11" t="inlineStr">
        <is>
          <t>Manual only</t>
        </is>
      </c>
      <c r="J6" s="9" t="inlineStr">
        <is>
          <t>pdfval/validators/chapter.py _LIST_MARKER_TOKEN_RE; mark_changes parts()</t>
        </is>
      </c>
      <c r="K6" s="12" t="n"/>
      <c r="L6" s="12" t="n"/>
      <c r="M6" s="12" t="n"/>
      <c r="N6" s="12" t="n"/>
    </row>
    <row r="7" ht="86" customHeight="1">
      <c r="A7" s="9" t="inlineStr">
        <is>
          <t>QA-006</t>
        </is>
      </c>
      <c r="B7" s="9" t="inlineStr">
        <is>
          <t>False positives - list markers</t>
        </is>
      </c>
      <c r="C7" s="9" t="inlineStr">
        <is>
          <t>Normalisation does not swallow non-marker text</t>
        </is>
      </c>
      <c r="D7" s="10" t="inlineStr">
        <is>
          <t>High</t>
        </is>
      </c>
      <c r="E7" s="9" t="inlineStr">
        <is>
          <t>Text samples: 'e.g. Something', '3.5 mm jack', 'Version 2.0 released', 'No.5 setting', 'HEVC(H26 5)'.</t>
        </is>
      </c>
      <c r="F7" s="9" t="inlineStr">
        <is>
          <t>1. In a Python shell: from pdfval.validators.chapter import _normalise
2. Normalise each sample.</t>
        </is>
      </c>
      <c r="G7" s="9" t="inlineStr">
        <is>
          <t>Every sample keeps its wording: '3.5 mm jack', 'version 2.0 released', 'no.5 setting', 'hevc(h26 5)', 'e.g. something'.</t>
        </is>
      </c>
      <c r="H7" s="9" t="inlineStr">
        <is>
          <t>No digits or words are removed from any of these.</t>
        </is>
      </c>
      <c r="I7" s="11" t="inlineStr">
        <is>
          <t>Manual only (regression candidate)</t>
        </is>
      </c>
      <c r="J7" s="9" t="inlineStr">
        <is>
          <t>pdfval/validators/chapter.py:271</t>
        </is>
      </c>
      <c r="K7" s="12" t="n"/>
      <c r="L7" s="12" t="n"/>
      <c r="M7" s="12" t="n"/>
      <c r="N7" s="12" t="n"/>
    </row>
    <row r="8" ht="86" customHeight="1">
      <c r="A8" s="9" t="inlineStr">
        <is>
          <t>QA-007</t>
        </is>
      </c>
      <c r="B8" s="9" t="inlineStr">
        <is>
          <t>False positives - callouts</t>
        </is>
      </c>
      <c r="C8" s="9" t="inlineStr">
        <is>
          <t>Parenthesised callout numbers drawn as glyphs on one side are ignored</t>
        </is>
      </c>
      <c r="D8" s="10" t="inlineStr">
        <is>
          <t>High</t>
        </is>
      </c>
      <c r="E8" s="9" t="inlineStr">
        <is>
          <t>Production prints 'release button ( ), detach the stand from the monitor ( and ).' (glyphs not extractable); Staging prints 'release button ( 1 ), detach the stand from the monitor ( 2 and 3 ).' Pair A, p.20.</t>
        </is>
      </c>
      <c r="F8" s="9" t="inlineStr">
        <is>
          <t>1. Run the comparison.
2. Search for findings on the VESA release-button sentence.</t>
        </is>
      </c>
      <c r="G8" s="9" t="inlineStr">
        <is>
          <t>No content, symbol or punctuation finding for this sentence.</t>
        </is>
      </c>
      <c r="H8" s="9" t="inlineStr">
        <is>
          <t>No 'missing text', 'extra space' or 'symbol changed' finding caused by the callout digits.</t>
        </is>
      </c>
      <c r="I8" s="11" t="inlineStr">
        <is>
          <t>Manual only</t>
        </is>
      </c>
      <c r="J8" s="9" t="inlineStr">
        <is>
          <t>pdfval/validators/chapter.py _INLINE_CALLOUT_RE</t>
        </is>
      </c>
      <c r="K8" s="12" t="n"/>
      <c r="L8" s="12" t="n"/>
      <c r="M8" s="12" t="n"/>
      <c r="N8" s="12" t="n"/>
    </row>
    <row r="9" ht="86" customHeight="1">
      <c r="A9" s="9" t="inlineStr">
        <is>
          <t>QA-008</t>
        </is>
      </c>
      <c r="B9" s="9" t="inlineStr">
        <is>
          <t>False positives - callouts</t>
        </is>
      </c>
      <c r="C9" s="9" t="inlineStr">
        <is>
          <t>Parentheses holding real content are still compared</t>
        </is>
      </c>
      <c r="D9" s="10" t="inlineStr">
        <is>
          <t>High</t>
        </is>
      </c>
      <c r="E9" s="9" t="inlineStr">
        <is>
          <t>Text samples: '(2 channels)', 'supports (1080p)', 'HEVC(H26 5)'.</t>
        </is>
      </c>
      <c r="F9" s="9" t="inlineStr">
        <is>
          <t>1. Normalise each sample with _normalise.
2. Confirm the parenthesised text survives.</t>
        </is>
      </c>
      <c r="G9" s="9" t="inlineStr">
        <is>
          <t>'(2 channels)', 'supports (1080p)' and 'hevc(h26 5)' are unchanged.</t>
        </is>
      </c>
      <c r="H9" s="9" t="inlineStr">
        <is>
          <t>These must not be stripped as callouts.</t>
        </is>
      </c>
      <c r="I9" s="11" t="inlineStr">
        <is>
          <t>Manual only (regression candidate)</t>
        </is>
      </c>
      <c r="J9" s="9" t="inlineStr">
        <is>
          <t>pdfval/validators/chapter.py _INLINE_CALLOUT_RE</t>
        </is>
      </c>
      <c r="K9" s="12" t="n"/>
      <c r="L9" s="12" t="n"/>
      <c r="M9" s="12" t="n"/>
      <c r="N9" s="12" t="n"/>
    </row>
    <row r="10" ht="86" customHeight="1">
      <c r="A10" s="9" t="inlineStr">
        <is>
          <t>QA-009</t>
        </is>
      </c>
      <c r="B10" s="9" t="inlineStr">
        <is>
          <t>False positives - artwork</t>
        </is>
      </c>
      <c r="C10" s="9" t="inlineStr">
        <is>
          <t>A dimension label drawn on a diagram is not counted as missing text</t>
        </is>
      </c>
      <c r="D10" s="10" t="inlineStr">
        <is>
          <t>High</t>
        </is>
      </c>
      <c r="E10" s="9" t="inlineStr">
        <is>
          <t>Production prints '3 cm' twice as labels inside a clearance diagram (Pair A, p.18); Staging bakes the same labels into a flat image.</t>
        </is>
      </c>
      <c r="F10" s="9" t="inlineStr">
        <is>
          <t>1. Run the comparison.
2. Search for a finding quoting “cm”.</t>
        </is>
      </c>
      <c r="G10" s="9" t="inlineStr">
        <is>
          <t>No 'Words missing in Staging: “cm” ×2' finding, and no red box on the 'For pole mount installation' heading.</t>
        </is>
      </c>
      <c r="H10" s="9" t="inlineStr">
        <is>
          <t>The heading must not be boxed or pinned for this.</t>
        </is>
      </c>
      <c r="I10" s="11" t="inlineStr">
        <is>
          <t>Manual only</t>
        </is>
      </c>
      <c r="J10" s="9" t="inlineStr">
        <is>
          <t>pdfval/validators/chapter.py _is_artwork_callout</t>
        </is>
      </c>
      <c r="K10" s="12" t="n"/>
      <c r="L10" s="12" t="n"/>
      <c r="M10" s="12" t="n"/>
      <c r="N10" s="12" t="n"/>
    </row>
    <row r="11" ht="86" customHeight="1">
      <c r="A11" s="9" t="inlineStr">
        <is>
          <t>QA-010</t>
        </is>
      </c>
      <c r="B11" s="9" t="inlineStr">
        <is>
          <t>False positives - artwork</t>
        </is>
      </c>
      <c r="C11" s="9" t="inlineStr">
        <is>
          <t>Body text and captions near a diagram are still counted</t>
        </is>
      </c>
      <c r="D11" s="10" t="inlineStr">
        <is>
          <t>High</t>
        </is>
      </c>
      <c r="E11" s="9" t="inlineStr">
        <is>
          <t>Pair A, Production p.18: the sentence '3 cm away from the metal portion of the ceiling mount:', the headings, and the page number.</t>
        </is>
      </c>
      <c r="F11" s="9" t="inlineStr">
        <is>
          <t>1. In a Python shell, call _is_artwork_callout for every line on that page.</t>
        </is>
      </c>
      <c r="G11" s="9" t="inlineStr">
        <is>
          <t>Only the two standalone '3 cm' diagram labels return True.</t>
        </is>
      </c>
      <c r="H11" s="9" t="inlineStr">
        <is>
          <t>The body sentence, both headings and the page number must return False.</t>
        </is>
      </c>
      <c r="I11" s="11" t="inlineStr">
        <is>
          <t>Manual only (regression candidate)</t>
        </is>
      </c>
      <c r="J11" s="9" t="inlineStr">
        <is>
          <t>pdfval/validators/chapter.py _is_artwork_callout</t>
        </is>
      </c>
      <c r="K11" s="12" t="n"/>
      <c r="L11" s="12" t="n"/>
      <c r="M11" s="12" t="n"/>
      <c r="N11" s="12" t="n"/>
    </row>
    <row r="12" ht="86" customHeight="1">
      <c r="A12" s="9" t="inlineStr">
        <is>
          <t>QA-011</t>
        </is>
      </c>
      <c r="B12" s="9" t="inlineStr">
        <is>
          <t>False positives - artwork</t>
        </is>
      </c>
      <c r="C12" s="9" t="inlineStr">
        <is>
          <t>A scanned page is not treated as one big diagram</t>
        </is>
      </c>
      <c r="D12" s="10" t="inlineStr">
        <is>
          <t>High</t>
        </is>
      </c>
      <c r="E12" s="9" t="inlineStr">
        <is>
          <t>A pair where one side's page is a full-page scanned image with OCR text (tests/test_scanned_pages.py builds one).</t>
        </is>
      </c>
      <c r="F12" s="9" t="inlineStr">
        <is>
          <t>1. Run pytest tests/test_scanned_pages.py.
2. Or run a comparison on a scanned-page pair and inspect the chapter differences.</t>
        </is>
      </c>
      <c r="G12" s="9" t="inlineStr">
        <is>
          <t>The scanned page's own heading and body are still compared; only the genuine wording change is reported.</t>
        </is>
      </c>
      <c r="H12" s="9" t="inlineStr">
        <is>
          <t>The page's whole text must not be dropped as 'artwork labels'.</t>
        </is>
      </c>
      <c r="I12" s="13" t="inlineStr">
        <is>
          <t>AUTOMATED: tests/test_scanned_pages.py::test_scanned_page_text_is_compared_via_ocr</t>
        </is>
      </c>
      <c r="J12" s="9" t="inlineStr">
        <is>
          <t>pdfval/validators/chapter.py _ARTWORK_LABEL_MAX_PAGE_SHARE</t>
        </is>
      </c>
      <c r="K12" s="12" t="n"/>
      <c r="L12" s="12" t="n"/>
      <c r="M12" s="12" t="n"/>
      <c r="N12" s="12" t="n"/>
    </row>
    <row r="13" ht="86" customHeight="1">
      <c r="A13" s="9" t="inlineStr">
        <is>
          <t>QA-012</t>
        </is>
      </c>
      <c r="B13" s="9" t="inlineStr">
        <is>
          <t>False positives - sections</t>
        </is>
      </c>
      <c r="C13" s="9" t="inlineStr">
        <is>
          <t>An unmatched bookmark is only a missing section when the words are genuinely absent</t>
        </is>
      </c>
      <c r="D13" s="10" t="inlineStr">
        <is>
          <t>High</t>
        </is>
      </c>
      <c r="E13" s="9" t="inlineStr">
        <is>
          <t>Pair A: Staging bookmarks '2. Connect the S Switch and the video cable.'; Production has no such bookmark but prints '2.Connect the S Switch and the video cable.' on p.17.</t>
        </is>
      </c>
      <c r="F13" s="9" t="inlineStr">
        <is>
          <t>1. Run the comparison.
2. Search for 'Section only in Staging'.</t>
        </is>
      </c>
      <c r="G13" s="9" t="inlineStr">
        <is>
          <t>No 'Section only in Staging' finding for this heading (the TOC page still lists it as a structural difference).</t>
        </is>
      </c>
      <c r="H13" s="9" t="inlineStr">
        <is>
          <t>Must not report 'and everything under it is not printed anywhere in Production'.</t>
        </is>
      </c>
      <c r="I13" s="11" t="inlineStr">
        <is>
          <t>Manual only</t>
        </is>
      </c>
      <c r="J13" s="9" t="inlineStr">
        <is>
          <t>pdfval/validators/chapter.py _printed_anywhere_in</t>
        </is>
      </c>
      <c r="K13" s="12" t="n"/>
      <c r="L13" s="12" t="n"/>
      <c r="M13" s="12" t="n"/>
      <c r="N13" s="12" t="n"/>
    </row>
    <row r="14" ht="86" customHeight="1">
      <c r="A14" s="9" t="inlineStr">
        <is>
          <t>QA-013</t>
        </is>
      </c>
      <c r="B14" s="9" t="inlineStr">
        <is>
          <t>False positives - sections</t>
        </is>
      </c>
      <c r="C14" s="9" t="inlineStr">
        <is>
          <t>A genuinely missing section is still reported</t>
        </is>
      </c>
      <c r="D14" s="10" t="inlineStr">
        <is>
          <t>High</t>
        </is>
      </c>
      <c r="E14" s="9" t="inlineStr">
        <is>
          <t>Take Pair A and delete a whole section's body from the Staging copy, keeping its bookmark out.</t>
        </is>
      </c>
      <c r="F14" s="9" t="inlineStr">
        <is>
          <t>1. Run the comparison on the edited pair.
2. Look for the section finding.</t>
        </is>
      </c>
      <c r="G14" s="9" t="inlineStr">
        <is>
          <t>'Section missing in Staging' is reported for that heading, at severity 1.</t>
        </is>
      </c>
      <c r="H14" s="9" t="inlineStr">
        <is>
          <t>The check must not swallow a real loss.</t>
        </is>
      </c>
      <c r="I14" s="11" t="inlineStr">
        <is>
          <t>Manual only</t>
        </is>
      </c>
      <c r="J14" s="9" t="inlineStr">
        <is>
          <t>pdfval/validators/chapter.py _section_missing_diffs</t>
        </is>
      </c>
      <c r="K14" s="12" t="n"/>
      <c r="L14" s="12" t="n"/>
      <c r="M14" s="12" t="n"/>
      <c r="N14" s="12" t="n"/>
    </row>
    <row r="15" ht="86" customHeight="1">
      <c r="A15" s="9" t="inlineStr">
        <is>
          <t>QA-014</t>
        </is>
      </c>
      <c r="B15" s="9" t="inlineStr">
        <is>
          <t>False positives - sections</t>
        </is>
      </c>
      <c r="C15" s="9" t="inlineStr">
        <is>
          <t>A heading listed only in the other document's contents page does not mask a missing section</t>
        </is>
      </c>
      <c r="D15" s="9" t="inlineStr">
        <is>
          <t>Medium</t>
        </is>
      </c>
      <c r="E15" s="9" t="inlineStr">
        <is>
          <t>A pair where Staging's printed contents page lists a heading whose section body is absent from Staging.</t>
        </is>
      </c>
      <c r="F15" s="9" t="inlineStr">
        <is>
          <t>1. Run the comparison.
2. Check the section finding for that heading.</t>
        </is>
      </c>
      <c r="G15" s="9" t="inlineStr">
        <is>
          <t>The section is still reported missing - dot-leader contents lines are excluded from the 'is it printed here' test.</t>
        </is>
      </c>
      <c r="H15" s="9" t="inlineStr">
        <is>
          <t>A contents listing must not count as the section being printed.</t>
        </is>
      </c>
      <c r="I15" s="11" t="inlineStr">
        <is>
          <t>Manual only</t>
        </is>
      </c>
      <c r="J15" s="9" t="inlineStr">
        <is>
          <t>pdfval/validators/chapter.py _TOC_LEADER_RE</t>
        </is>
      </c>
      <c r="K15" s="12" t="n"/>
      <c r="L15" s="12" t="n"/>
      <c r="M15" s="12" t="n"/>
      <c r="N15" s="12" t="n"/>
    </row>
    <row r="16" ht="86" customHeight="1">
      <c r="A16" s="9" t="inlineStr">
        <is>
          <t>QA-015</t>
        </is>
      </c>
      <c r="B16" s="9" t="inlineStr">
        <is>
          <t>False positives - word audit</t>
        </is>
      </c>
      <c r="C16" s="9" t="inlineStr">
        <is>
          <t>Boilerplate filed under a different topic on each side is not reported missing</t>
        </is>
      </c>
      <c r="D16" s="10" t="inlineStr">
        <is>
          <t>High</t>
        </is>
      </c>
      <c r="E16" s="9" t="inlineStr">
        <is>
          <t>Pair A: the sentence '... to go to a sub menu, and then use ... to select a menu item.' is printed 7 times in BOTH documents.</t>
        </is>
      </c>
      <c r="F16" s="9" t="inlineStr">
        <is>
          <t>1. Run the comparison.
2. Search for 'Words missing in Staging' quoting “use”, “or”, “go”, “sub”, “then”, “item”.</t>
        </is>
      </c>
      <c r="G16" s="9" t="inlineStr">
        <is>
          <t>No such finding.</t>
        </is>
      </c>
      <c r="H16" s="9" t="inlineStr">
        <is>
          <t>No word-audit finding whose candidate lines are printed elsewhere in the other document.</t>
        </is>
      </c>
      <c r="I16" s="11" t="inlineStr">
        <is>
          <t>Manual only</t>
        </is>
      </c>
      <c r="J16" s="9" t="inlineStr">
        <is>
          <t>pdfval/validators/chapter.py word_audit_changes</t>
        </is>
      </c>
      <c r="K16" s="12" t="n"/>
      <c r="L16" s="12" t="n"/>
      <c r="M16" s="12" t="n"/>
      <c r="N16" s="12" t="n"/>
    </row>
    <row r="17" ht="86" customHeight="1">
      <c r="A17" s="9" t="inlineStr">
        <is>
          <t>QA-016</t>
        </is>
      </c>
      <c r="B17" s="9" t="inlineStr">
        <is>
          <t>False positives - word audit</t>
        </is>
      </c>
      <c r="C17" s="9" t="inlineStr">
        <is>
          <t>Content genuinely absent from the whole document is still reported</t>
        </is>
      </c>
      <c r="D17" s="10" t="inlineStr">
        <is>
          <t>High</t>
        </is>
      </c>
      <c r="E17" s="9" t="inlineStr">
        <is>
          <t>tests/fixtures content pair, or Pair A with a paragraph deleted from Staging entirely.</t>
        </is>
      </c>
      <c r="F17" s="9" t="inlineStr">
        <is>
          <t>1. Run the comparison.
2. Look for the word-audit finding for the deleted words.</t>
        </is>
      </c>
      <c r="G17" s="9" t="inlineStr">
        <is>
          <t>The missing words are reported with a box on the Production lines that hold them.</t>
        </is>
      </c>
      <c r="H17" s="9" t="inlineStr">
        <is>
          <t>The chapter-wide check must not hide a real loss.</t>
        </is>
      </c>
      <c r="I17" s="13" t="inlineStr">
        <is>
          <t>AUTOMATED: tests/test_issue_checks.py::test_plain_text_scan_finds_content_missing_from_the_whole_book</t>
        </is>
      </c>
      <c r="J17" s="9" t="inlineStr">
        <is>
          <t>pdfval/validators/chapter.py word_audit_changes</t>
        </is>
      </c>
      <c r="K17" s="12" t="n"/>
      <c r="L17" s="12" t="n"/>
      <c r="M17" s="12" t="n"/>
      <c r="N17" s="12" t="n"/>
    </row>
    <row r="18" ht="86" customHeight="1">
      <c r="A18" s="9" t="inlineStr">
        <is>
          <t>QA-017</t>
        </is>
      </c>
      <c r="B18" s="9" t="inlineStr">
        <is>
          <t>Highlight placement</t>
        </is>
      </c>
      <c r="C18" s="9" t="inlineStr">
        <is>
          <t>Only the changed words are tinted, not the whole paragraph</t>
        </is>
      </c>
      <c r="D18" s="10" t="inlineStr">
        <is>
          <t>High</t>
        </is>
      </c>
      <c r="E18" s="9" t="inlineStr">
        <is>
          <t>A pair with 4 or more changed words in one paragraph (more than _BOXES_BEFORE_LIST = 3).</t>
        </is>
      </c>
      <c r="F18" s="9" t="inlineStr">
        <is>
          <t>1. Run the comparison and open pdf.html.
2. Select the finding for that paragraph.
3. Inspect the tinted areas.</t>
        </is>
      </c>
      <c r="G18" s="9" t="inlineStr">
        <is>
          <t>Each changed word carries its own tint; the unchanged text in the same paragraph is untinted. The changes are listed once in the single comment beside the boxes.</t>
        </is>
      </c>
      <c r="H18" s="9" t="inlineStr">
        <is>
          <t>The whole paragraph must not be tinted as one block.</t>
        </is>
      </c>
      <c r="I18" s="11" t="inlineStr">
        <is>
          <t>Manual only</t>
        </is>
      </c>
      <c r="J18" s="9" t="inlineStr">
        <is>
          <t>pdfval/report/issues.py build_issue_report</t>
        </is>
      </c>
      <c r="K18" s="12" t="n"/>
      <c r="L18" s="12" t="n"/>
      <c r="M18" s="12" t="n"/>
      <c r="N18" s="12" t="n"/>
    </row>
    <row r="19" ht="86" customHeight="1">
      <c r="A19" s="9" t="inlineStr">
        <is>
          <t>QA-018</t>
        </is>
      </c>
      <c r="B19" s="9" t="inlineStr">
        <is>
          <t>Highlight placement</t>
        </is>
      </c>
      <c r="C19" s="9" t="inlineStr">
        <is>
          <t>Boxes merge only along one line, never down the page</t>
        </is>
      </c>
      <c r="D19" s="10" t="inlineStr">
        <is>
          <t>High</t>
        </is>
      </c>
      <c r="E19" s="9" t="inlineStr">
        <is>
          <t>A consolidated card with marks on several separate lines (e.g. three bullets in one note box).</t>
        </is>
      </c>
      <c r="F19" s="9" t="inlineStr">
        <is>
          <t>1. Select the consolidated card in pdf.html.
2. Inspect the boxes.</t>
        </is>
      </c>
      <c r="G19" s="9" t="inlineStr">
        <is>
          <t>One box per line at most. Boxes on different lines stay separate.</t>
        </is>
      </c>
      <c r="H19" s="9" t="inlineStr">
        <is>
          <t>No single block covering the lines between two marks.</t>
        </is>
      </c>
      <c r="I19" s="11" t="inlineStr">
        <is>
          <t>Manual only</t>
        </is>
      </c>
      <c r="J19" s="9" t="inlineStr">
        <is>
          <t>pdfval/report/issues.py _bounding_boxes, _LINE_OVERLAP</t>
        </is>
      </c>
      <c r="K19" s="12" t="n"/>
      <c r="L19" s="12" t="n"/>
      <c r="M19" s="12" t="n"/>
      <c r="N19" s="12" t="n"/>
    </row>
    <row r="20" ht="86" customHeight="1">
      <c r="A20" s="9" t="inlineStr">
        <is>
          <t>QA-019</t>
        </is>
      </c>
      <c r="B20" s="9" t="inlineStr">
        <is>
          <t>Highlight placement</t>
        </is>
      </c>
      <c r="C20" s="9" t="inlineStr">
        <is>
          <t>A repeated change is boxed on the same changed words everywhere it occurs</t>
        </is>
      </c>
      <c r="D20" s="9" t="inlineStr">
        <is>
          <t>Medium</t>
        </is>
      </c>
      <c r="E20" s="9" t="inlineStr">
        <is>
          <t>A pair where one wording change repeats in several places.</t>
        </is>
      </c>
      <c r="F20" s="9" t="inlineStr">
        <is>
          <t>1. Select the finding.
2. Inspect each occurrence's box.</t>
        </is>
      </c>
      <c r="G20" s="9" t="inlineStr">
        <is>
          <t>Every occurrence is boxed on its changed words.</t>
        </is>
      </c>
      <c r="H20" s="9" t="inlineStr">
        <is>
          <t>No occurrence is boxed as a whole paragraph.</t>
        </is>
      </c>
      <c r="I20" s="11" t="inlineStr">
        <is>
          <t>Manual only</t>
        </is>
      </c>
      <c r="J20" s="9" t="inlineStr">
        <is>
          <t>pdfval/report/issues.py build_issue_report repeats loop</t>
        </is>
      </c>
      <c r="K20" s="12" t="n"/>
      <c r="L20" s="12" t="n"/>
      <c r="M20" s="12" t="n"/>
      <c r="N20" s="12" t="n"/>
    </row>
    <row r="21" ht="86" customHeight="1">
      <c r="A21" s="9" t="inlineStr">
        <is>
          <t>QA-020</t>
        </is>
      </c>
      <c r="B21" s="9" t="inlineStr">
        <is>
          <t>Highlight placement</t>
        </is>
      </c>
      <c r="C21" s="9" t="inlineStr">
        <is>
          <t>A one-sided finding draws NO box on the document that lacks the content</t>
        </is>
      </c>
      <c r="D21" s="10" t="inlineStr">
        <is>
          <t>High</t>
        </is>
      </c>
      <c r="E21" s="9" t="inlineStr">
        <is>
          <t>Reference pair A: Production XQ2566X-en.pdf (59 pp) vs Staging Monitor XQ2566X user manual (10).pdf (52 pp), saved at runs/ce5655a6b44f43889bc78dc3bbf7669f/uploads/expected.pdf and actual.pdf. Findings such as 'Hyperlink added in Staging', 'Table row extra in Staging'.</t>
        </is>
      </c>
      <c r="F21" s="9" t="inlineStr">
        <is>
          <t>1. Open pdf.html and go to Production pages 1-2.
2. Select each one-sided finding in turn.
3. Inspect the Production page, including its left margin.</t>
        </is>
      </c>
      <c r="G21" s="9" t="inlineStr">
        <is>
          <t>No box is drawn on the Production page in any state - not on hover, not when selected. Only the comment and its connector line appear.</t>
        </is>
      </c>
      <c r="H21" s="9" t="inlineStr">
        <is>
          <t>No red box in the page margin; no box over a heading; no dashed box on selection.</t>
        </is>
      </c>
      <c r="I21" s="11" t="inlineStr">
        <is>
          <t>Manual only</t>
        </is>
      </c>
      <c r="J21" s="9" t="inlineStr">
        <is>
          <t>pdfval/report/templates/pdf_template.html .box.pin; pdfval/report/issues.py _marker_box</t>
        </is>
      </c>
      <c r="K21" s="12" t="n"/>
      <c r="L21" s="12" t="n"/>
      <c r="M21" s="12" t="n"/>
      <c r="N21" s="12" t="n"/>
    </row>
    <row r="22" ht="86" customHeight="1">
      <c r="A22" s="9" t="inlineStr">
        <is>
          <t>QA-021</t>
        </is>
      </c>
      <c r="B22" s="9" t="inlineStr">
        <is>
          <t>Highlight placement</t>
        </is>
      </c>
      <c r="C22" s="9" t="inlineStr">
        <is>
          <t>The pin anchors the connector line inside the text column</t>
        </is>
      </c>
      <c r="D22" s="9" t="inlineStr">
        <is>
          <t>Medium</t>
        </is>
      </c>
      <c r="E22" s="9" t="inlineStr">
        <is>
          <t>Any one-sided finding.</t>
        </is>
      </c>
      <c r="F22" s="9" t="inlineStr">
        <is>
          <t>1. Inspect the issue data (VIEW.issues[].prod_boxes / stage_boxes) for boxes with marker: true.</t>
        </is>
      </c>
      <c r="G22" s="9" t="inlineStr">
        <is>
          <t>Marker boxes are 2pt wide and start 36pt from the page's left edge.</t>
        </is>
      </c>
      <c r="H22" s="9" t="inlineStr">
        <is>
          <t>Marker boxes must not start at 8pt (page margin) or be 12pt/90pt wide.</t>
        </is>
      </c>
      <c r="I22" s="11" t="inlineStr">
        <is>
          <t>Manual only</t>
        </is>
      </c>
      <c r="J22" s="9" t="inlineStr">
        <is>
          <t>pdfval/report/issues.py _marker_box</t>
        </is>
      </c>
      <c r="K22" s="12" t="n"/>
      <c r="L22" s="12" t="n"/>
      <c r="M22" s="12" t="n"/>
      <c r="N22" s="12" t="n"/>
    </row>
    <row r="23" ht="86" customHeight="1">
      <c r="A23" s="9" t="inlineStr">
        <is>
          <t>QA-022</t>
        </is>
      </c>
      <c r="B23" s="9" t="inlineStr">
        <is>
          <t>Severity</t>
        </is>
      </c>
      <c r="C23" s="9" t="inlineStr">
        <is>
          <t>Content pulled into Staging's note box is reported as critical</t>
        </is>
      </c>
      <c r="D23" s="10" t="inlineStr">
        <is>
          <t>High</t>
        </is>
      </c>
      <c r="E23" s="9" t="inlineStr">
        <is>
          <t>A pair where Production keeps a paragraph separate after a note and Staging's shaded note box grows to cover it (Pair A).</t>
        </is>
      </c>
      <c r="F23" s="9" t="inlineStr">
        <is>
          <t>1. Run the comparison.
2. Find 'Extra content pulled into Staging's note box'.
3. Inspect its colour, its nav row and the noise filters.</t>
        </is>
      </c>
      <c r="G23" s="9" t="inlineStr">
        <is>
          <t>Drawn in content red at 3px, listed as critical, fails the run, and is NOT offered under the Styling noise filter.</t>
        </is>
      </c>
      <c r="H23" s="9" t="inlineStr">
        <is>
          <t>Must not be orange/minor, and must not be hidden by the Styling noise toggle.</t>
        </is>
      </c>
      <c r="I23" s="11" t="inlineStr">
        <is>
          <t>Manual only</t>
        </is>
      </c>
      <c r="J23" s="9" t="inlineStr">
        <is>
          <t>pdfval/validators/chapter.py:3119; pdfval/report/issues.py critical override</t>
        </is>
      </c>
      <c r="K23" s="12" t="n"/>
      <c r="L23" s="12" t="n"/>
      <c r="M23" s="12" t="n"/>
      <c r="N23" s="12" t="n"/>
    </row>
    <row r="24" ht="86" customHeight="1">
      <c r="A24" s="9" t="inlineStr">
        <is>
          <t>QA-023</t>
        </is>
      </c>
      <c r="B24" s="9" t="inlineStr">
        <is>
          <t>Severity</t>
        </is>
      </c>
      <c r="C24" s="9" t="inlineStr">
        <is>
          <t>One critical member makes a consolidated card critical</t>
        </is>
      </c>
      <c r="D24" s="10" t="inlineStr">
        <is>
          <t>High</t>
        </is>
      </c>
      <c r="E24" s="9" t="inlineStr">
        <is>
          <t>A section producing at least two same-category findings, one of them critical.</t>
        </is>
      </c>
      <c r="F24" s="9" t="inlineStr">
        <is>
          <t>1. Run the comparison.
2. Find the consolidated card.
3. Inspect its colour and flags.</t>
        </is>
      </c>
      <c r="G24" s="9" t="inlineStr">
        <is>
          <t>The card is critical, not minor, with no noise group.</t>
        </is>
      </c>
      <c r="H24" s="9" t="inlineStr">
        <is>
          <t>The critical member must not be hidden behind a routine member's styling.</t>
        </is>
      </c>
      <c r="I24" s="11" t="inlineStr">
        <is>
          <t>Manual only</t>
        </is>
      </c>
      <c r="J24" s="9" t="inlineStr">
        <is>
          <t>pdfval/report/issues.py _consolidate_issues</t>
        </is>
      </c>
      <c r="K24" s="12" t="n"/>
      <c r="L24" s="12" t="n"/>
      <c r="M24" s="12" t="n"/>
      <c r="N24" s="12" t="n"/>
    </row>
    <row r="25" ht="86" customHeight="1">
      <c r="A25" s="9" t="inlineStr">
        <is>
          <t>QA-024</t>
        </is>
      </c>
      <c r="B25" s="9" t="inlineStr">
        <is>
          <t>Encoding</t>
        </is>
      </c>
      <c r="C25" s="9" t="inlineStr">
        <is>
          <t>An unreadable text layer is reported with both sides' readings and not blamed on one document</t>
        </is>
      </c>
      <c r="D25" s="10" t="inlineStr">
        <is>
          <t>High</t>
        </is>
      </c>
      <c r="E25" s="9" t="inlineStr">
        <is>
          <t>Pair A, OSD Settings &gt; Language table: Production stores Simplified Chinese as (cid:N) tokens and prints it correctly; Staging decodes to different codepoints and prints four wrong glyphs.</t>
        </is>
      </c>
      <c r="F25" s="9" t="inlineStr">
        <is>
          <t>1. Run the comparison.
2. Find the finding for that table cell.</t>
        </is>
      </c>
      <c r="G25" s="9" t="inlineStr">
        <is>
          <t>Reads 'Characters cannot be read in Production - N character(s) have no usable encoding ((cid:N)), so what Production prints here cannot be compared by text, while Staging prints “...” in their place. Check this by eye...'. It is review-only, not a run failure.</t>
        </is>
      </c>
      <c r="H25" s="9" t="inlineStr">
        <is>
          <t>Must not read simply 'Text encoding issue in Production' with no counterpart quote, and must not fail the run on one side.</t>
        </is>
      </c>
      <c r="I25" s="11" t="inlineStr">
        <is>
          <t>Manual only</t>
        </is>
      </c>
      <c r="J25" s="9" t="inlineStr">
        <is>
          <t>pdfval/validators/chapter.py _encoding_regression</t>
        </is>
      </c>
      <c r="K25" s="12" t="n"/>
      <c r="L25" s="12" t="n"/>
      <c r="M25" s="12" t="n"/>
      <c r="N25" s="12" t="n"/>
    </row>
    <row r="26" ht="86" customHeight="1">
      <c r="A26" s="9" t="inlineStr">
        <is>
          <t>QA-025</t>
        </is>
      </c>
      <c r="B26" s="9" t="inlineStr">
        <is>
          <t>Encoding</t>
        </is>
      </c>
      <c r="C26" s="9" t="inlineStr">
        <is>
          <t>The counterpart quote names only what stands in the unreadable run's place</t>
        </is>
      </c>
      <c r="D26" s="9" t="inlineStr">
        <is>
          <t>Medium</t>
        </is>
      </c>
      <c r="E26" s="9" t="inlineStr">
        <is>
          <t>Texts: A = 'Total \ufffd output', B = 'Total 120W output'.</t>
        </is>
      </c>
      <c r="F26" s="9" t="inlineStr">
        <is>
          <t>1. Call _encoding_regression('text', A, B).
2. Read the summary.</t>
        </is>
      </c>
      <c r="G26" s="9" t="inlineStr">
        <is>
          <t>The summary quotes “120W” as the counterpart.</t>
        </is>
      </c>
      <c r="H26" s="9" t="inlineStr">
        <is>
          <t>It must not quote the whole rest of the sentence.</t>
        </is>
      </c>
      <c r="I26" s="11" t="inlineStr">
        <is>
          <t>Manual only (regression candidate)</t>
        </is>
      </c>
      <c r="J26" s="9" t="inlineStr">
        <is>
          <t>pdfval/validators/chapter.py _opposite_text</t>
        </is>
      </c>
      <c r="K26" s="12" t="n"/>
      <c r="L26" s="12" t="n"/>
      <c r="M26" s="12" t="n"/>
      <c r="N26" s="12" t="n"/>
    </row>
    <row r="27" ht="86" customHeight="1">
      <c r="A27" s="9" t="inlineStr">
        <is>
          <t>QA-026</t>
        </is>
      </c>
      <c r="B27" s="9" t="inlineStr">
        <is>
          <t>Encoding</t>
        </is>
      </c>
      <c r="C27" s="9" t="inlineStr">
        <is>
          <t>Two clean texts produce no encoding finding</t>
        </is>
      </c>
      <c r="D27" s="10" t="inlineStr">
        <is>
          <t>High</t>
        </is>
      </c>
      <c r="E27" s="9" t="inlineStr">
        <is>
          <t>Texts: A = B = 'clean text here'.</t>
        </is>
      </c>
      <c r="F27" s="9" t="inlineStr">
        <is>
          <t>1. Call _encoding_regression('text', A, B).</t>
        </is>
      </c>
      <c r="G27" s="9" t="inlineStr">
        <is>
          <t>Returns None.</t>
        </is>
      </c>
      <c r="H27" s="9" t="inlineStr">
        <is>
          <t>No finding on identical, decodable text.</t>
        </is>
      </c>
      <c r="I27" s="11" t="inlineStr">
        <is>
          <t>Manual only (regression candidate)</t>
        </is>
      </c>
      <c r="J27" s="9" t="inlineStr">
        <is>
          <t>pdfval/validators/chapter.py _encoding_regression</t>
        </is>
      </c>
      <c r="K27" s="12" t="n"/>
      <c r="L27" s="12" t="n"/>
      <c r="M27" s="12" t="n"/>
      <c r="N27" s="12" t="n"/>
    </row>
    <row r="28" ht="86" customHeight="1">
      <c r="A28" s="9" t="inlineStr">
        <is>
          <t>QA-027</t>
        </is>
      </c>
      <c r="B28" s="9" t="inlineStr">
        <is>
          <t>Broken media</t>
        </is>
      </c>
      <c r="C28" s="9" t="inlineStr">
        <is>
          <t>An icon-sized image with an unreadable stream is reported broken</t>
        </is>
      </c>
      <c r="D28" s="10" t="inlineStr">
        <is>
          <t>High</t>
        </is>
      </c>
      <c r="E28" s="9" t="inlineStr">
        <is>
          <t>A Staging PDF with a 6pt image whose embedded stream is empty or will not decode.</t>
        </is>
      </c>
      <c r="F28" s="9" t="inlineStr">
        <is>
          <t>1. Run pytest tests/test_broken_icons.py::test_icon_sized_image_is_checked_for_a_broken_stream.
2. Or run a comparison on such a pair and read the finding.</t>
        </is>
      </c>
      <c r="G28" s="9" t="inlineStr">
        <is>
          <t>A finding 'Icon broken in Staging - embedded image stream is empty; it will not display.' of type figure-broken.</t>
        </is>
      </c>
      <c r="H28" s="9" t="inlineStr">
        <is>
          <t>The image must not be skipped for being small.</t>
        </is>
      </c>
      <c r="I28" s="13" t="inlineStr">
        <is>
          <t>AUTOMATED: tests/test_broken_icons.py::test_icon_sized_image_is_checked_for_a_broken_stream</t>
        </is>
      </c>
      <c r="J28" s="9" t="inlineStr">
        <is>
          <t>pdfval/validators/chapter.py broken_image_changes; pdfval/validators/image.py _broken_reason</t>
        </is>
      </c>
      <c r="K28" s="12" t="n"/>
      <c r="L28" s="12" t="n"/>
      <c r="M28" s="12" t="n"/>
      <c r="N28" s="12" t="n"/>
    </row>
    <row r="29" ht="86" customHeight="1">
      <c r="A29" s="9" t="inlineStr">
        <is>
          <t>QA-028</t>
        </is>
      </c>
      <c r="B29" s="9" t="inlineStr">
        <is>
          <t>Broken media</t>
        </is>
      </c>
      <c r="C29" s="9" t="inlineStr">
        <is>
          <t>A figure-sized broken image is still reported, with the full render checks</t>
        </is>
      </c>
      <c r="D29" s="10" t="inlineStr">
        <is>
          <t>High</t>
        </is>
      </c>
      <c r="E29" s="9" t="inlineStr">
        <is>
          <t>The same fixture, 40pt image.</t>
        </is>
      </c>
      <c r="F29" s="9" t="inlineStr">
        <is>
          <t>1. Run the same test.
2. Inspect the wording.</t>
        </is>
      </c>
      <c r="G29" s="9" t="inlineStr">
        <is>
          <t>A finding 'Image broken in Staging - ...' and the render heuristics were applied (stream_only=False).</t>
        </is>
      </c>
      <c r="H29" s="9" t="inlineStr">
        <is>
          <t>Existing figure-level detection must not regress.</t>
        </is>
      </c>
      <c r="I29" s="13" t="inlineStr">
        <is>
          <t>AUTOMATED: tests/test_broken_icons.py::test_icon_sized_image_is_checked_for_a_broken_stream</t>
        </is>
      </c>
      <c r="J29" s="9" t="inlineStr">
        <is>
          <t>pdfval/validators/chapter.py broken_image_changes</t>
        </is>
      </c>
      <c r="K29" s="12" t="n"/>
      <c r="L29" s="12" t="n"/>
      <c r="M29" s="12" t="n"/>
      <c r="N29" s="12" t="n"/>
    </row>
    <row r="30" ht="86" customHeight="1">
      <c r="A30" s="9" t="inlineStr">
        <is>
          <t>QA-029</t>
        </is>
      </c>
      <c r="B30" s="9" t="inlineStr">
        <is>
          <t>Broken media</t>
        </is>
      </c>
      <c r="C30" s="9" t="inlineStr">
        <is>
          <t>A small icon that paints as one flat colour is NOT called broken</t>
        </is>
      </c>
      <c r="D30" s="10" t="inlineStr">
        <is>
          <t>High</t>
        </is>
      </c>
      <c r="E30" s="9" t="inlineStr">
        <is>
          <t>A 6pt solid-colour PNG icon with a valid stream.</t>
        </is>
      </c>
      <c r="F30" s="9" t="inlineStr">
        <is>
          <t>1. Run pytest tests/test_broken_icons.py::test_stream_only_skips_the_render_heuristics.</t>
        </is>
      </c>
      <c r="G30" s="9" t="inlineStr">
        <is>
          <t>_broken_reason(..., stream_only=True) returns None.</t>
        </is>
      </c>
      <c r="H30" s="9" t="inlineStr">
        <is>
          <t>A legitimate flat icon must not be reported broken.</t>
        </is>
      </c>
      <c r="I30" s="13" t="inlineStr">
        <is>
          <t>AUTOMATED: tests/test_broken_icons.py::test_stream_only_skips_the_render_heuristics</t>
        </is>
      </c>
      <c r="J30" s="9" t="inlineStr">
        <is>
          <t>pdfval/validators/image.py _broken_reason</t>
        </is>
      </c>
      <c r="K30" s="12" t="n"/>
      <c r="L30" s="12" t="n"/>
      <c r="M30" s="12" t="n"/>
      <c r="N30" s="12" t="n"/>
    </row>
    <row r="31" ht="86" customHeight="1">
      <c r="A31" s="9" t="inlineStr">
        <is>
          <t>QA-030</t>
        </is>
      </c>
      <c r="B31" s="9" t="inlineStr">
        <is>
          <t>Broken media</t>
        </is>
      </c>
      <c r="C31" s="9" t="inlineStr">
        <is>
          <t>A hairline image is still skipped</t>
        </is>
      </c>
      <c r="D31" s="9" t="inlineStr">
        <is>
          <t>Medium</t>
        </is>
      </c>
      <c r="E31" s="9" t="inlineStr">
        <is>
          <t>A 2pt x 2pt image.</t>
        </is>
      </c>
      <c r="F31" s="9" t="inlineStr">
        <is>
          <t>1. Run pytest tests/test_broken_icons.py::test_a_hairline_image_is_still_skipped.</t>
        </is>
      </c>
      <c r="G31" s="9" t="inlineStr">
        <is>
          <t>No finding is produced.</t>
        </is>
      </c>
      <c r="H31" s="9" t="inlineStr">
        <is>
          <t>Rules must not be dragged down to one-pixel artefacts.</t>
        </is>
      </c>
      <c r="I31" s="13" t="inlineStr">
        <is>
          <t>AUTOMATED: tests/test_broken_icons.py::test_a_hairline_image_is_still_skipped</t>
        </is>
      </c>
      <c r="J31" s="9" t="inlineStr">
        <is>
          <t>pdfval/validators/chapter.py _MIN_BROKEN_SIDE</t>
        </is>
      </c>
      <c r="K31" s="12" t="n"/>
      <c r="L31" s="12" t="n"/>
      <c r="M31" s="12" t="n"/>
      <c r="N31" s="12" t="n"/>
    </row>
    <row r="32" ht="86" customHeight="1">
      <c r="A32" s="9" t="inlineStr">
        <is>
          <t>QA-031</t>
        </is>
      </c>
      <c r="B32" s="9" t="inlineStr">
        <is>
          <t>Broken media</t>
        </is>
      </c>
      <c r="C32" s="9" t="inlineStr">
        <is>
          <t>A clean document pair produces no broken-media findings</t>
        </is>
      </c>
      <c r="D32" s="10" t="inlineStr">
        <is>
          <t>High</t>
        </is>
      </c>
      <c r="E32" s="9" t="inlineStr">
        <is>
          <t>Reference pair A: Production XQ2566X-en.pdf (59 pp) vs Staging Monitor XQ2566X user manual (10).pdf (52 pp), saved at runs/ce5655a6b44f43889bc78dc3bbf7669f/uploads/expected.pdf and actual.pdf (no broken images in either file).</t>
        </is>
      </c>
      <c r="F32" s="9" t="inlineStr">
        <is>
          <t>1. Run the comparison.
2. Filter the issue list for 'broken'.</t>
        </is>
      </c>
      <c r="G32" s="9" t="inlineStr">
        <is>
          <t>Zero broken-image and broken-icon findings.</t>
        </is>
      </c>
      <c r="H32" s="9" t="inlineStr">
        <is>
          <t>The lowered size floor must not introduce false 'broken' reports. Baseline: 46 issues total on Pair A.</t>
        </is>
      </c>
      <c r="I32" s="11" t="inlineStr">
        <is>
          <t>Manual only</t>
        </is>
      </c>
      <c r="J32" s="9" t="inlineStr">
        <is>
          <t>pdfval/validators/chapter.py broken_image_changes</t>
        </is>
      </c>
      <c r="K32" s="12" t="n"/>
      <c r="L32" s="12" t="n"/>
      <c r="M32" s="12" t="n"/>
      <c r="N32" s="12" t="n"/>
    </row>
    <row r="33" ht="86" customHeight="1">
      <c r="A33" s="9" t="inlineStr">
        <is>
          <t>QA-032</t>
        </is>
      </c>
      <c r="B33" s="9" t="inlineStr">
        <is>
          <t>Scroll sync</t>
        </is>
      </c>
      <c r="C33" s="9" t="inlineStr">
        <is>
          <t>Paragraph-level waypoints keep the two panes level</t>
        </is>
      </c>
      <c r="D33" s="10" t="inlineStr">
        <is>
          <t>High</t>
        </is>
      </c>
      <c r="E33" s="9" t="inlineStr">
        <is>
          <t>Reference pair A: Production XQ2566X-en.pdf (59 pp) vs Staging Monitor XQ2566X user manual (10).pdf (52 pp), saved at runs/ce5655a6b44f43889bc78dc3bbf7669f/uploads/expected.pdf and actual.pdf. Run: python3 -m pdfval.cli &lt;production.pdf&gt; &lt;staging.pdf&gt; -o &lt;out_dir&gt;, then open &lt;out_dir&gt;/pdf.html</t>
        </is>
      </c>
      <c r="F33" s="9" t="inlineStr">
        <is>
          <t>1. Open pdf.html with 'Scroll together' ticked.
2. Scroll Production slowly from page 45 to page 57.
3. Watch the Staging pane.</t>
        </is>
      </c>
      <c r="G33" s="9" t="inlineStr">
        <is>
          <t>Staging tracks the same content throughout; at Production p.53 ('System menu') Staging shows p.46.</t>
        </is>
      </c>
      <c r="H33" s="9" t="inlineStr">
        <is>
          <t>No stretch where the two panes show unrelated content.</t>
        </is>
      </c>
      <c r="I33" s="11" t="inlineStr">
        <is>
          <t>Manual only</t>
        </is>
      </c>
      <c r="J33" s="9" t="inlineStr">
        <is>
          <t>pdfval/validators/chapter.py content_anchors; pdfval/report/issues.py</t>
        </is>
      </c>
      <c r="K33" s="12" t="n"/>
      <c r="L33" s="12" t="n"/>
      <c r="M33" s="12" t="n"/>
      <c r="N33" s="12" t="n"/>
    </row>
    <row r="34" ht="86" customHeight="1">
      <c r="A34" s="9" t="inlineStr">
        <is>
          <t>QA-033</t>
        </is>
      </c>
      <c r="B34" s="9" t="inlineStr">
        <is>
          <t>Scroll sync</t>
        </is>
      </c>
      <c r="C34" s="9" t="inlineStr">
        <is>
          <t>One bad waypoint does not delete the good ones after it</t>
        </is>
      </c>
      <c r="D34" s="10" t="inlineStr">
        <is>
          <t>High</t>
        </is>
      </c>
      <c r="E34" s="9" t="inlineStr">
        <is>
          <t>Pair A has a mis-matched table waypoint at Production p.46 pointing to Staging p.49.</t>
        </is>
      </c>
      <c r="F34" s="9" t="inlineStr">
        <is>
          <t>1. Inspect VIEW.anchors in pdf.html.
2. Count anchors that have a stage side.
3. Measure the largest gap in Production pages between consecutive usable anchors.</t>
        </is>
      </c>
      <c r="G34" s="9" t="inlineStr">
        <is>
          <t>At least ~180 usable waypoints and a largest gap of about 3 Production pages. The 46-&gt;49 waypoint is dropped, 47-&gt;43 ... 53-&gt;46 are kept.</t>
        </is>
      </c>
      <c r="H34" s="9" t="inlineStr">
        <is>
          <t>No 11-page stretch with no usable waypoint.</t>
        </is>
      </c>
      <c r="I34" s="11" t="inlineStr">
        <is>
          <t>Manual only</t>
        </is>
      </c>
      <c r="J34" s="9" t="inlineStr">
        <is>
          <t>pdfval/report/issues.py _order_anchors (longest increasing subsequence)</t>
        </is>
      </c>
      <c r="K34" s="12" t="n"/>
      <c r="L34" s="12" t="n"/>
      <c r="M34" s="12" t="n"/>
      <c r="N34" s="12" t="n"/>
    </row>
    <row r="35" ht="86" customHeight="1">
      <c r="A35" s="9" t="inlineStr">
        <is>
          <t>QA-034</t>
        </is>
      </c>
      <c r="B35" s="9" t="inlineStr">
        <is>
          <t>Scroll sync</t>
        </is>
      </c>
      <c r="C35" s="9" t="inlineStr">
        <is>
          <t>Selecting an issue opens both panes at the same finding</t>
        </is>
      </c>
      <c r="D35" s="10" t="inlineStr">
        <is>
          <t>High</t>
        </is>
      </c>
      <c r="E35" s="9" t="inlineStr">
        <is>
          <t>A consolidated card whose members include a one-sided finding (e.g. 'Figure missing in Staging' merged with text findings).</t>
        </is>
      </c>
      <c r="F35" s="9" t="inlineStr">
        <is>
          <t>1. Click the card in the issue list.
2. Compare what each pane shows.</t>
        </is>
      </c>
      <c r="G35" s="9" t="inlineStr">
        <is>
          <t>Both panes open on the same member finding - the first one boxed on both sides.</t>
        </is>
      </c>
      <c r="H35" s="9" t="inlineStr">
        <is>
          <t>The two panes must not open on different findings pages apart.</t>
        </is>
      </c>
      <c r="I35" s="11" t="inlineStr">
        <is>
          <t>Manual only</t>
        </is>
      </c>
      <c r="J35" s="9" t="inlineStr">
        <is>
          <t>pdfval/report/templates/pdf_template.html select(); pdfval/report/issues.py box 'pair'</t>
        </is>
      </c>
      <c r="K35" s="12" t="n"/>
      <c r="L35" s="12" t="n"/>
      <c r="M35" s="12" t="n"/>
      <c r="N35" s="12" t="n"/>
    </row>
    <row r="36" ht="86" customHeight="1">
      <c r="A36" s="9" t="inlineStr">
        <is>
          <t>QA-035</t>
        </is>
      </c>
      <c r="B36" s="9" t="inlineStr">
        <is>
          <t>Scroll sync</t>
        </is>
      </c>
      <c r="C36" s="9" t="inlineStr">
        <is>
          <t>The topbar heading label still names a heading</t>
        </is>
      </c>
      <c r="D36" s="9" t="inlineStr">
        <is>
          <t>Medium</t>
        </is>
      </c>
      <c r="E36" s="9" t="inlineStr">
        <is>
          <t>Reference pair A: Production XQ2566X-en.pdf (59 pp) vs Staging Monitor XQ2566X user manual (10).pdf (52 pp), saved at runs/ce5655a6b44f43889bc78dc3bbf7669f/uploads/expected.pdf and actual.pdf. Run: python3 -m pdfval.cli &lt;production.pdf&gt; &lt;staging.pdf&gt; -o &lt;out_dir&gt;, then open &lt;out_dir&gt;/pdf.html</t>
        </is>
      </c>
      <c r="F36" s="9" t="inlineStr">
        <is>
          <t>1. Scroll through the document.
2. Watch the heading label in the topbar.</t>
        </is>
      </c>
      <c r="G36" s="9" t="inlineStr">
        <is>
          <t>The label always shows a real heading (e.g. 'System menu').</t>
        </is>
      </c>
      <c r="H36" s="9" t="inlineStr">
        <is>
          <t>It must never show the first words of a body paragraph.</t>
        </is>
      </c>
      <c r="I36" s="11" t="inlineStr">
        <is>
          <t>Manual only</t>
        </is>
      </c>
      <c r="J36" s="9" t="inlineStr">
        <is>
          <t>pdfval/report/templates/pdf_template.html showNow()</t>
        </is>
      </c>
      <c r="K36" s="12" t="n"/>
      <c r="L36" s="12" t="n"/>
      <c r="M36" s="12" t="n"/>
      <c r="N36" s="12" t="n"/>
    </row>
    <row r="37" ht="86" customHeight="1">
      <c r="A37" s="9" t="inlineStr">
        <is>
          <t>QA-036</t>
        </is>
      </c>
      <c r="B37" s="9" t="inlineStr">
        <is>
          <t>Scroll sync</t>
        </is>
      </c>
      <c r="C37" s="9" t="inlineStr">
        <is>
          <t>Scrolling stays smooth with hundreds of waypoints</t>
        </is>
      </c>
      <c r="D37" s="9" t="inlineStr">
        <is>
          <t>Medium</t>
        </is>
      </c>
      <c r="E37" s="9" t="inlineStr">
        <is>
          <t>A large pair (Pair A, 250 waypoints).</t>
        </is>
      </c>
      <c r="F37" s="9" t="inlineStr">
        <is>
          <t>1. Scroll both panes quickly for ~30 seconds.
2. Zoom in and out, toggle the nav, resize the window, then scroll again.</t>
        </is>
      </c>
      <c r="G37" s="9" t="inlineStr">
        <is>
          <t>Scrolling is smooth; after each layout change the panes still track correctly.</t>
        </is>
      </c>
      <c r="H37" s="9" t="inlineStr">
        <is>
          <t>No visible lag, and no drift caused by stale cached measurements.</t>
        </is>
      </c>
      <c r="I37" s="11" t="inlineStr">
        <is>
          <t>Manual only</t>
        </is>
      </c>
      <c r="J37" s="9" t="inlineStr">
        <is>
          <t>pdfval/report/templates/pdf_template.html anchorTops(), layoutEpoch</t>
        </is>
      </c>
      <c r="K37" s="12" t="n"/>
      <c r="L37" s="12" t="n"/>
      <c r="M37" s="12" t="n"/>
      <c r="N37" s="12" t="n"/>
    </row>
    <row r="38" ht="86" customHeight="1">
      <c r="A38" s="9" t="inlineStr">
        <is>
          <t>QA-037</t>
        </is>
      </c>
      <c r="B38" s="9" t="inlineStr">
        <is>
          <t>AI review</t>
        </is>
      </c>
      <c r="C38" s="9" t="inlineStr">
        <is>
          <t>The AI compares matched pages, not page numbers</t>
        </is>
      </c>
      <c r="D38" s="10" t="inlineStr">
        <is>
          <t>High</t>
        </is>
      </c>
      <c r="E38" s="9" t="inlineStr">
        <is>
          <t>Ollama running with the configured models; Pair A; AI review checkbox ticked in the web app.</t>
        </is>
      </c>
      <c r="F38" s="9" t="inlineStr">
        <is>
          <t>1. Run a comparison with AI review enabled.
2. Open ai_review.json (or the result page).
3. Check the page pairing for Production p.53.</t>
        </is>
      </c>
      <c r="G38" s="9" t="inlineStr">
        <is>
          <t>Production p.53 is compared against Staging p.46 - the same pairing the deterministic engine reports for that content.</t>
        </is>
      </c>
      <c r="H38" s="9" t="inlineStr">
        <is>
          <t>Production p.53 must not be compared against Staging p.53.</t>
        </is>
      </c>
      <c r="I38" s="11" t="inlineStr">
        <is>
          <t>Manual only (requires Ollama)</t>
        </is>
      </c>
      <c r="J38" s="9" t="inlineStr">
        <is>
          <t>pdfval/ai_review.py page_pairs; pdfval/web/app.py _run_ai_review</t>
        </is>
      </c>
      <c r="K38" s="12" t="n"/>
      <c r="L38" s="12" t="n"/>
      <c r="M38" s="12" t="n"/>
      <c r="N38" s="12" t="n"/>
    </row>
    <row r="39" ht="86" customHeight="1">
      <c r="A39" s="9" t="inlineStr">
        <is>
          <t>QA-038</t>
        </is>
      </c>
      <c r="B39" s="9" t="inlineStr">
        <is>
          <t>AI review</t>
        </is>
      </c>
      <c r="C39" s="9" t="inlineStr">
        <is>
          <t>Page pairing degrades safely with no waypoints</t>
        </is>
      </c>
      <c r="D39" s="10" t="inlineStr">
        <is>
          <t>High</t>
        </is>
      </c>
      <c r="E39" s="9" t="inlineStr">
        <is>
          <t>No anchors available (pass anchors=None).</t>
        </is>
      </c>
      <c r="F39" s="9" t="inlineStr">
        <is>
          <t>1. Call ai_review.page_pairs(None, 5, 3).</t>
        </is>
      </c>
      <c r="G39" s="9" t="inlineStr">
        <is>
          <t>Returns [(1,1), (2,2), (3,3)] - page for page, capped at the shorter document.</t>
        </is>
      </c>
      <c r="H39" s="9" t="inlineStr">
        <is>
          <t>It must not return pairs pointing past the end of the shorter document.</t>
        </is>
      </c>
      <c r="I39" s="11" t="inlineStr">
        <is>
          <t>Manual only (regression candidate)</t>
        </is>
      </c>
      <c r="J39" s="9" t="inlineStr">
        <is>
          <t>pdfval/ai_review.py page_pairs</t>
        </is>
      </c>
      <c r="K39" s="12" t="n"/>
      <c r="L39" s="12" t="n"/>
      <c r="M39" s="12" t="n"/>
      <c r="N39" s="12" t="n"/>
    </row>
    <row r="40" ht="86" customHeight="1">
      <c r="A40" s="9" t="inlineStr">
        <is>
          <t>QA-039</t>
        </is>
      </c>
      <c r="B40" s="9" t="inlineStr">
        <is>
          <t>AI review</t>
        </is>
      </c>
      <c r="C40" s="9" t="inlineStr">
        <is>
          <t>Page pairing interpolates between waypoints</t>
        </is>
      </c>
      <c r="D40" s="9" t="inlineStr">
        <is>
          <t>Medium</t>
        </is>
      </c>
      <c r="E40" s="9" t="inlineStr">
        <is>
          <t>Anchors: Production p.1 -&gt; Staging p.1 and Production p.11 -&gt; Staging p.6.</t>
        </is>
      </c>
      <c r="F40" s="9" t="inlineStr">
        <is>
          <t>1. Call ai_review.page_pairs with those anchors, 11 Production pages and 6 Staging pages.</t>
        </is>
      </c>
      <c r="G40" s="9" t="inlineStr">
        <is>
          <t>The mapping rises monotonically from (1,1) to (11,6).</t>
        </is>
      </c>
      <c r="H40" s="9" t="inlineStr">
        <is>
          <t>No pair goes backwards or leaves the Staging page range.</t>
        </is>
      </c>
      <c r="I40" s="11" t="inlineStr">
        <is>
          <t>Manual only (regression candidate)</t>
        </is>
      </c>
      <c r="J40" s="9" t="inlineStr">
        <is>
          <t>pdfval/ai_review.py page_pairs</t>
        </is>
      </c>
      <c r="K40" s="12" t="n"/>
      <c r="L40" s="12" t="n"/>
      <c r="M40" s="12" t="n"/>
      <c r="N40" s="12" t="n"/>
    </row>
    <row r="41" ht="86" customHeight="1">
      <c r="A41" s="9" t="inlineStr">
        <is>
          <t>QA-040</t>
        </is>
      </c>
      <c r="B41" s="9" t="inlineStr">
        <is>
          <t>AI review</t>
        </is>
      </c>
      <c r="C41" s="9" t="inlineStr">
        <is>
          <t>The AI is told the same rules the deterministic checks follow</t>
        </is>
      </c>
      <c r="D41" s="10" t="inlineStr">
        <is>
          <t>High</t>
        </is>
      </c>
      <c r="E41" s="9" t="inlineStr">
        <is>
          <t>Ollama running; any pair whose two sides wrap text differently.</t>
        </is>
      </c>
      <c r="F41" s="9" t="inlineStr">
        <is>
          <t>1. Run an AI review.
2. Read every note.</t>
        </is>
      </c>
      <c r="G41" s="9" t="inlineStr">
        <is>
          <t>Notes name only content genuinely present in one page and absent or changed in the other.</t>
        </is>
      </c>
      <c r="H41" s="9" t="inlineStr">
        <is>
          <t>No note about different line wrapping, different pagination, list-number spacing, a different bullet glyph, or a callout number set as text on one side.</t>
        </is>
      </c>
      <c r="I41" s="11" t="inlineStr">
        <is>
          <t>Manual only (requires Ollama)</t>
        </is>
      </c>
      <c r="J41" s="9" t="inlineStr">
        <is>
          <t>pdfval/ai_review.py DIFF_PROMPT / _RULES</t>
        </is>
      </c>
      <c r="K41" s="12" t="n"/>
      <c r="L41" s="12" t="n"/>
      <c r="M41" s="12" t="n"/>
      <c r="N41" s="12" t="n"/>
    </row>
    <row r="42" ht="86" customHeight="1">
      <c r="A42" s="9" t="inlineStr">
        <is>
          <t>QA-041</t>
        </is>
      </c>
      <c r="B42" s="9" t="inlineStr">
        <is>
          <t>AI review</t>
        </is>
      </c>
      <c r="C42" s="9" t="inlineStr">
        <is>
          <t>Each AI note says which two pages it compared</t>
        </is>
      </c>
      <c r="D42" s="9" t="inlineStr">
        <is>
          <t>Medium</t>
        </is>
      </c>
      <c r="E42" s="9" t="inlineStr">
        <is>
          <t>Ollama running; Pair A.</t>
        </is>
      </c>
      <c r="F42" s="9" t="inlineStr">
        <is>
          <t>1. Run an AI review with the web app.
2. Read the AI section of the result page.</t>
        </is>
      </c>
      <c r="G42" s="9" t="inlineStr">
        <is>
          <t>Each note is headed 'Production p.N ↔ Staging p.M' whenever the two numbers differ.</t>
        </is>
      </c>
      <c r="H42" s="9" t="inlineStr">
        <is>
          <t>A note must not imply the two pages share a number when they do not.</t>
        </is>
      </c>
      <c r="I42" s="11" t="inlineStr">
        <is>
          <t>Manual only (requires Ollama)</t>
        </is>
      </c>
      <c r="J42" s="9" t="inlineStr">
        <is>
          <t>pdfval/ai_review.py review_pages; pdfval/web/templates/result.html</t>
        </is>
      </c>
      <c r="K42" s="12" t="n"/>
      <c r="L42" s="12" t="n"/>
      <c r="M42" s="12" t="n"/>
      <c r="N42" s="12" t="n"/>
    </row>
    <row r="43" ht="86" customHeight="1">
      <c r="A43" s="9" t="inlineStr">
        <is>
          <t>QA-042</t>
        </is>
      </c>
      <c r="B43" s="9" t="inlineStr">
        <is>
          <t>TOC structure</t>
        </is>
      </c>
      <c r="C43" s="9" t="inlineStr">
        <is>
          <t>The TOC page shows both structures side by side with a status</t>
        </is>
      </c>
      <c r="D43" s="10" t="inlineStr">
        <is>
          <t>High</t>
        </is>
      </c>
      <c r="E43" s="9" t="inlineStr">
        <is>
          <t>Reference pair A: Production XQ2566X-en.pdf (59 pp) vs Staging Monitor XQ2566X user manual (10).pdf (52 pp), saved at runs/ce5655a6b44f43889bc78dc3bbf7669f/uploads/expected.pdf and actual.pdf. Open &lt;out_dir&gt;/toc.html.</t>
        </is>
      </c>
      <c r="F43" s="9" t="inlineStr">
        <is>
          <t>1. Open toc.html.
2. Read the table header and a few rows.</t>
        </is>
      </c>
      <c r="G43" s="9" t="inlineStr">
        <is>
          <t>Three columns: 'Production - table of contents', 'Same structure?', 'Staging - table of contents'. Each side shows its own L1/L2/L3 badge, its own title and its own page.</t>
        </is>
      </c>
      <c r="H43" s="9" t="inlineStr">
        <is>
          <t>No merged single list with prod/stage level columns.</t>
        </is>
      </c>
      <c r="I43" s="11" t="inlineStr">
        <is>
          <t>Manual only</t>
        </is>
      </c>
      <c r="J43" s="9" t="inlineStr">
        <is>
          <t>pdfval/report/templates/toc_template.html; pdfval/validators/toc.py build_toc_report</t>
        </is>
      </c>
      <c r="K43" s="12" t="n"/>
      <c r="L43" s="12" t="n"/>
      <c r="M43" s="12" t="n"/>
      <c r="N43" s="12" t="n"/>
    </row>
    <row r="44" ht="86" customHeight="1">
      <c r="A44" s="9" t="inlineStr">
        <is>
          <t>QA-043</t>
        </is>
      </c>
      <c r="B44" s="9" t="inlineStr">
        <is>
          <t>TOC structure</t>
        </is>
      </c>
      <c r="C44" s="9" t="inlineStr">
        <is>
          <t>Status is Matching when the heading and its nesting level agree</t>
        </is>
      </c>
      <c r="D44" s="10" t="inlineStr">
        <is>
          <t>High</t>
        </is>
      </c>
      <c r="E44" s="9" t="inlineStr">
        <is>
          <t>Pair A: 'Product support' is L1 on both sides, on p.3 and p.5.</t>
        </is>
      </c>
      <c r="F44" s="9" t="inlineStr">
        <is>
          <t>1. Find that row in toc.html.</t>
        </is>
      </c>
      <c r="G44" s="9" t="inlineStr">
        <is>
          <t>Status reads 'Matching', with 'page +2' shown beneath it.</t>
        </is>
      </c>
      <c r="H44" s="9" t="inlineStr">
        <is>
          <t>A page shift alone must not read 'Not matching'.</t>
        </is>
      </c>
      <c r="I44" s="11" t="inlineStr">
        <is>
          <t>Manual only</t>
        </is>
      </c>
      <c r="J44" s="9" t="inlineStr">
        <is>
          <t>pdfval/validators/toc.py build_toc_report</t>
        </is>
      </c>
      <c r="K44" s="12" t="n"/>
      <c r="L44" s="12" t="n"/>
      <c r="M44" s="12" t="n"/>
      <c r="N44" s="12" t="n"/>
    </row>
    <row r="45" ht="86" customHeight="1">
      <c r="A45" s="9" t="inlineStr">
        <is>
          <t>QA-044</t>
        </is>
      </c>
      <c r="B45" s="9" t="inlineStr">
        <is>
          <t>TOC structure</t>
        </is>
      </c>
      <c r="C45" s="9" t="inlineStr">
        <is>
          <t>Status is Not matching when the nesting level differs</t>
        </is>
      </c>
      <c r="D45" s="10" t="inlineStr">
        <is>
          <t>High</t>
        </is>
      </c>
      <c r="E45" s="9" t="inlineStr">
        <is>
          <t>Pair A: 'Disclaimer' is L1 in Production and L2 in Staging.</t>
        </is>
      </c>
      <c r="F45" s="9" t="inlineStr">
        <is>
          <t>1. Find that row in toc.html.</t>
        </is>
      </c>
      <c r="G45" s="9" t="inlineStr">
        <is>
          <t>Status reads 'Not matching' with the reason 'nesting level L1 in Production, L2 in Staging'.</t>
        </is>
      </c>
      <c r="H45" s="9" t="inlineStr">
        <is>
          <t>The row must not read 'Matching'.</t>
        </is>
      </c>
      <c r="I45" s="11" t="inlineStr">
        <is>
          <t>Manual only</t>
        </is>
      </c>
      <c r="J45" s="9" t="inlineStr">
        <is>
          <t>pdfval/validators/toc.py build_toc_report</t>
        </is>
      </c>
      <c r="K45" s="12" t="n"/>
      <c r="L45" s="12" t="n"/>
      <c r="M45" s="12" t="n"/>
      <c r="N45" s="12" t="n"/>
    </row>
    <row r="46" ht="86" customHeight="1">
      <c r="A46" s="9" t="inlineStr">
        <is>
          <t>QA-045</t>
        </is>
      </c>
      <c r="B46" s="9" t="inlineStr">
        <is>
          <t>TOC structure</t>
        </is>
      </c>
      <c r="C46" s="9" t="inlineStr">
        <is>
          <t>A heading only one side has shows an explicit placeholder</t>
        </is>
      </c>
      <c r="D46" s="10" t="inlineStr">
        <is>
          <t>High</t>
        </is>
      </c>
      <c r="E46" s="9" t="inlineStr">
        <is>
          <t>Pair A: Staging bookmarks 'Caution' (p.8); Production does not.</t>
        </is>
      </c>
      <c r="F46" s="9" t="inlineStr">
        <is>
          <t>1. Find that row in toc.html.</t>
        </is>
      </c>
      <c r="G46" s="9" t="inlineStr">
        <is>
          <t>The Production cell reads '- not in Production -', the status is 'Not matching' with the reason 'not in Production's table of contents'.</t>
        </is>
      </c>
      <c r="H46" s="9" t="inlineStr">
        <is>
          <t>The row must not be left blank or silently dropped.</t>
        </is>
      </c>
      <c r="I46" s="11" t="inlineStr">
        <is>
          <t>Manual only</t>
        </is>
      </c>
      <c r="J46" s="9" t="inlineStr">
        <is>
          <t>pdfval/report/templates/toc_template.html</t>
        </is>
      </c>
      <c r="K46" s="12" t="n"/>
      <c r="L46" s="12" t="n"/>
      <c r="M46" s="12" t="n"/>
      <c r="N46" s="12" t="n"/>
    </row>
    <row r="47" ht="86" customHeight="1">
      <c r="A47" s="9" t="inlineStr">
        <is>
          <t>QA-046</t>
        </is>
      </c>
      <c r="B47" s="9" t="inlineStr">
        <is>
          <t>TOC structure</t>
        </is>
      </c>
      <c r="C47" s="9" t="inlineStr">
        <is>
          <t>The summary cards and filters match the rows</t>
        </is>
      </c>
      <c r="D47" s="9" t="inlineStr">
        <is>
          <t>Medium</t>
        </is>
      </c>
      <c r="E47" s="9" t="inlineStr">
        <is>
          <t>Reference pair A: Production XQ2566X-en.pdf (59 pp) vs Staging Monitor XQ2566X user manual (10).pdf (52 pp), saved at runs/ce5655a6b44f43889bc78dc3bbf7669f/uploads/expected.pdf and actual.pdf. Open toc.html.</t>
        </is>
      </c>
      <c r="F47" s="9" t="inlineStr">
        <is>
          <t>1. Read the Matching / Not matching cards.
2. Click 'Not matching only'.
3. Count the visible rows.</t>
        </is>
      </c>
      <c r="G47" s="9" t="inlineStr">
        <is>
          <t>Cards read 47 Matching and 34 Not matching for Pair A; the filtered view shows exactly the 34 not-matching rows.</t>
        </is>
      </c>
      <c r="H47" s="9" t="inlineStr">
        <is>
          <t>Counts must agree with the table.</t>
        </is>
      </c>
      <c r="I47" s="11" t="inlineStr">
        <is>
          <t>Manual only</t>
        </is>
      </c>
      <c r="J47" s="9" t="inlineStr">
        <is>
          <t>pdfval/validators/toc.py build_toc_report; toc_template.html</t>
        </is>
      </c>
      <c r="K47" s="12" t="n"/>
      <c r="L47" s="12" t="n"/>
      <c r="M47" s="12" t="n"/>
      <c r="N47" s="12" t="n"/>
    </row>
    <row r="48" ht="86" customHeight="1">
      <c r="A48" s="9" t="inlineStr">
        <is>
          <t>QA-047</t>
        </is>
      </c>
      <c r="B48" s="9" t="inlineStr">
        <is>
          <t>Regression</t>
        </is>
      </c>
      <c r="C48" s="9" t="inlineStr">
        <is>
          <t>The full automated suite passes</t>
        </is>
      </c>
      <c r="D48" s="10" t="inlineStr">
        <is>
          <t>High</t>
        </is>
      </c>
      <c r="E48" s="9" t="inlineStr">
        <is>
          <t>A clean checkout of the branch.</t>
        </is>
      </c>
      <c r="F48" s="9" t="inlineStr">
        <is>
          <t>1. Run: python3 -m pytest tests -q</t>
        </is>
      </c>
      <c r="G48" s="9" t="inlineStr">
        <is>
          <t>101 passed, 0 failed.</t>
        </is>
      </c>
      <c r="H48" s="9" t="inlineStr">
        <is>
          <t>No test failures.</t>
        </is>
      </c>
      <c r="I48" s="13" t="inlineStr">
        <is>
          <t>AUTOMATED: whole suite</t>
        </is>
      </c>
      <c r="J48" s="9" t="inlineStr">
        <is>
          <t>tests/</t>
        </is>
      </c>
      <c r="K48" s="12" t="n"/>
      <c r="L48" s="12" t="n"/>
      <c r="M48" s="12" t="n"/>
      <c r="N48" s="12" t="n"/>
    </row>
    <row r="49" ht="86" customHeight="1">
      <c r="A49" s="9" t="inlineStr">
        <is>
          <t>QA-048</t>
        </is>
      </c>
      <c r="B49" s="9" t="inlineStr">
        <is>
          <t>Regression</t>
        </is>
      </c>
      <c r="C49" s="9" t="inlineStr">
        <is>
          <t>Identical documents produce no findings</t>
        </is>
      </c>
      <c r="D49" s="10" t="inlineStr">
        <is>
          <t>High</t>
        </is>
      </c>
      <c r="E49" s="9" t="inlineStr">
        <is>
          <t>Any PDF compared against a byte-identical copy of itself.</t>
        </is>
      </c>
      <c r="F49" s="9" t="inlineStr">
        <is>
          <t>1. Run the comparison with the same file as both inputs.</t>
        </is>
      </c>
      <c r="G49" s="9" t="inlineStr">
        <is>
          <t>The run passes with zero findings in every category.</t>
        </is>
      </c>
      <c r="H49" s="9" t="inlineStr">
        <is>
          <t>No rule may fire on a document compared with itself.</t>
        </is>
      </c>
      <c r="I49" s="13" t="inlineStr">
        <is>
          <t>AUTOMATED: tests/test_list_markers.py::test_identical_documents_report_nothing</t>
        </is>
      </c>
      <c r="J49" s="9" t="inlineStr">
        <is>
          <t>whole engine</t>
        </is>
      </c>
      <c r="K49" s="12" t="n"/>
      <c r="L49" s="12" t="n"/>
      <c r="M49" s="12" t="n"/>
      <c r="N49" s="12" t="n"/>
    </row>
    <row r="50" ht="86" customHeight="1">
      <c r="A50" s="9" t="inlineStr">
        <is>
          <t>QA-049</t>
        </is>
      </c>
      <c r="B50" s="9" t="inlineStr">
        <is>
          <t>Regression</t>
        </is>
      </c>
      <c r="C50" s="9" t="inlineStr">
        <is>
          <t>Two runs of the same pair give the same result</t>
        </is>
      </c>
      <c r="D50" s="10" t="inlineStr">
        <is>
          <t>High</t>
        </is>
      </c>
      <c r="E50" s="9" t="inlineStr">
        <is>
          <t>Reference pair A: Production XQ2566X-en.pdf (59 pp) vs Staging Monitor XQ2566X user manual (10).pdf (52 pp), saved at runs/ce5655a6b44f43889bc78dc3bbf7669f/uploads/expected.pdf and actual.pdf.</t>
        </is>
      </c>
      <c r="F50" s="9" t="inlineStr">
        <is>
          <t>1. Run the comparison twice into different output directories.
2. Compare the issue counts and titles.</t>
        </is>
      </c>
      <c r="G50" s="9" t="inlineStr">
        <is>
          <t>Both runs report the same issues.</t>
        </is>
      </c>
      <c r="H50" s="9" t="inlineStr">
        <is>
          <t>KNOWN DEFECT: runs have differed (58 vs 46 total; 'List marker missing in Staging' findings appear and disappear). Treat a mismatch here as the known non-determinism, not as a new regression, until it is fixed.</t>
        </is>
      </c>
      <c r="I50" s="11" t="inlineStr">
        <is>
          <t>Manual only</t>
        </is>
      </c>
      <c r="J50" s="9" t="inlineStr">
        <is>
          <t>open defect - list marker check</t>
        </is>
      </c>
      <c r="K50" s="12" t="n"/>
      <c r="L50" s="12" t="n"/>
      <c r="M50" s="12" t="n"/>
      <c r="N50" s="12" t="n"/>
    </row>
  </sheetData>
  <autoFilter ref="A1:N50"/>
  <dataValidations count="1">
    <dataValidation sqref="K2:K50"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Coverage summary</t>
        </is>
      </c>
    </row>
    <row r="2">
      <c r="A2" s="14" t="inlineStr">
        <is>
          <t>Every figure below is a formula over the 'Test cases' tab - it updates as testers fill in the Result column.</t>
        </is>
      </c>
    </row>
    <row r="4">
      <c r="A4" s="8" t="inlineStr">
        <is>
          <t>Area</t>
        </is>
      </c>
      <c r="B4" s="8" t="inlineStr">
        <is>
          <t>Cases</t>
        </is>
      </c>
      <c r="C4" s="8" t="inlineStr">
        <is>
          <t>Automated</t>
        </is>
      </c>
      <c r="D4" s="8" t="inlineStr">
        <is>
          <t>Manual</t>
        </is>
      </c>
      <c r="E4" s="8" t="inlineStr">
        <is>
          <t>Pass</t>
        </is>
      </c>
      <c r="F4" s="8" t="inlineStr">
        <is>
          <t>Fail</t>
        </is>
      </c>
      <c r="G4" s="8" t="inlineStr">
        <is>
          <t>Blocked</t>
        </is>
      </c>
      <c r="H4" s="8" t="inlineStr">
        <is>
          <t>Not run / blank</t>
        </is>
      </c>
    </row>
    <row r="5">
      <c r="A5" s="15" t="inlineStr">
        <is>
          <t>Image highlighting</t>
        </is>
      </c>
      <c r="B5" s="16">
        <f>COUNTIF('Test cases'!$B$2:$B$50,$A5)</f>
        <v/>
      </c>
      <c r="C5" s="16">
        <f>COUNTIFS('Test cases'!$B$2:$B$50,$A5,'Test cases'!$I$2:$I$50,"AUTOMATED*")</f>
        <v/>
      </c>
      <c r="D5" s="16">
        <f>B5-C5</f>
        <v/>
      </c>
      <c r="E5" s="16">
        <f>COUNTIFS('Test cases'!$B$2:$B$50,$A5,'Test cases'!$K$2:$K$50,"Pass")</f>
        <v/>
      </c>
      <c r="F5" s="16">
        <f>COUNTIFS('Test cases'!$B$2:$B$50,$A5,'Test cases'!$K$2:$K$50,"Fail")</f>
        <v/>
      </c>
      <c r="G5" s="16">
        <f>COUNTIFS('Test cases'!$B$2:$B$50,$A5,'Test cases'!$K$2:$K$50,"Blocked")</f>
        <v/>
      </c>
      <c r="H5" s="16">
        <f>B5-E5-F5-G5</f>
        <v/>
      </c>
    </row>
    <row r="6">
      <c r="A6" s="15" t="inlineStr">
        <is>
          <t>False positives - bullets</t>
        </is>
      </c>
      <c r="B6" s="16">
        <f>COUNTIF('Test cases'!$B$2:$B$50,$A6)</f>
        <v/>
      </c>
      <c r="C6" s="16">
        <f>COUNTIFS('Test cases'!$B$2:$B$50,$A6,'Test cases'!$I$2:$I$50,"AUTOMATED*")</f>
        <v/>
      </c>
      <c r="D6" s="16">
        <f>B6-C6</f>
        <v/>
      </c>
      <c r="E6" s="16">
        <f>COUNTIFS('Test cases'!$B$2:$B$50,$A6,'Test cases'!$K$2:$K$50,"Pass")</f>
        <v/>
      </c>
      <c r="F6" s="16">
        <f>COUNTIFS('Test cases'!$B$2:$B$50,$A6,'Test cases'!$K$2:$K$50,"Fail")</f>
        <v/>
      </c>
      <c r="G6" s="16">
        <f>COUNTIFS('Test cases'!$B$2:$B$50,$A6,'Test cases'!$K$2:$K$50,"Blocked")</f>
        <v/>
      </c>
      <c r="H6" s="16">
        <f>B6-E6-F6-G6</f>
        <v/>
      </c>
    </row>
    <row r="7">
      <c r="A7" s="15" t="inlineStr">
        <is>
          <t>False positives - list markers</t>
        </is>
      </c>
      <c r="B7" s="16">
        <f>COUNTIF('Test cases'!$B$2:$B$50,$A7)</f>
        <v/>
      </c>
      <c r="C7" s="16">
        <f>COUNTIFS('Test cases'!$B$2:$B$50,$A7,'Test cases'!$I$2:$I$50,"AUTOMATED*")</f>
        <v/>
      </c>
      <c r="D7" s="16">
        <f>B7-C7</f>
        <v/>
      </c>
      <c r="E7" s="16">
        <f>COUNTIFS('Test cases'!$B$2:$B$50,$A7,'Test cases'!$K$2:$K$50,"Pass")</f>
        <v/>
      </c>
      <c r="F7" s="16">
        <f>COUNTIFS('Test cases'!$B$2:$B$50,$A7,'Test cases'!$K$2:$K$50,"Fail")</f>
        <v/>
      </c>
      <c r="G7" s="16">
        <f>COUNTIFS('Test cases'!$B$2:$B$50,$A7,'Test cases'!$K$2:$K$50,"Blocked")</f>
        <v/>
      </c>
      <c r="H7" s="16">
        <f>B7-E7-F7-G7</f>
        <v/>
      </c>
    </row>
    <row r="8">
      <c r="A8" s="15" t="inlineStr">
        <is>
          <t>False positives - callouts</t>
        </is>
      </c>
      <c r="B8" s="16">
        <f>COUNTIF('Test cases'!$B$2:$B$50,$A8)</f>
        <v/>
      </c>
      <c r="C8" s="16">
        <f>COUNTIFS('Test cases'!$B$2:$B$50,$A8,'Test cases'!$I$2:$I$50,"AUTOMATED*")</f>
        <v/>
      </c>
      <c r="D8" s="16">
        <f>B8-C8</f>
        <v/>
      </c>
      <c r="E8" s="16">
        <f>COUNTIFS('Test cases'!$B$2:$B$50,$A8,'Test cases'!$K$2:$K$50,"Pass")</f>
        <v/>
      </c>
      <c r="F8" s="16">
        <f>COUNTIFS('Test cases'!$B$2:$B$50,$A8,'Test cases'!$K$2:$K$50,"Fail")</f>
        <v/>
      </c>
      <c r="G8" s="16">
        <f>COUNTIFS('Test cases'!$B$2:$B$50,$A8,'Test cases'!$K$2:$K$50,"Blocked")</f>
        <v/>
      </c>
      <c r="H8" s="16">
        <f>B8-E8-F8-G8</f>
        <v/>
      </c>
    </row>
    <row r="9">
      <c r="A9" s="15" t="inlineStr">
        <is>
          <t>False positives - artwork</t>
        </is>
      </c>
      <c r="B9" s="16">
        <f>COUNTIF('Test cases'!$B$2:$B$50,$A9)</f>
        <v/>
      </c>
      <c r="C9" s="16">
        <f>COUNTIFS('Test cases'!$B$2:$B$50,$A9,'Test cases'!$I$2:$I$50,"AUTOMATED*")</f>
        <v/>
      </c>
      <c r="D9" s="16">
        <f>B9-C9</f>
        <v/>
      </c>
      <c r="E9" s="16">
        <f>COUNTIFS('Test cases'!$B$2:$B$50,$A9,'Test cases'!$K$2:$K$50,"Pass")</f>
        <v/>
      </c>
      <c r="F9" s="16">
        <f>COUNTIFS('Test cases'!$B$2:$B$50,$A9,'Test cases'!$K$2:$K$50,"Fail")</f>
        <v/>
      </c>
      <c r="G9" s="16">
        <f>COUNTIFS('Test cases'!$B$2:$B$50,$A9,'Test cases'!$K$2:$K$50,"Blocked")</f>
        <v/>
      </c>
      <c r="H9" s="16">
        <f>B9-E9-F9-G9</f>
        <v/>
      </c>
    </row>
    <row r="10">
      <c r="A10" s="15" t="inlineStr">
        <is>
          <t>False positives - sections</t>
        </is>
      </c>
      <c r="B10" s="16">
        <f>COUNTIF('Test cases'!$B$2:$B$50,$A10)</f>
        <v/>
      </c>
      <c r="C10" s="16">
        <f>COUNTIFS('Test cases'!$B$2:$B$50,$A10,'Test cases'!$I$2:$I$50,"AUTOMATED*")</f>
        <v/>
      </c>
      <c r="D10" s="16">
        <f>B10-C10</f>
        <v/>
      </c>
      <c r="E10" s="16">
        <f>COUNTIFS('Test cases'!$B$2:$B$50,$A10,'Test cases'!$K$2:$K$50,"Pass")</f>
        <v/>
      </c>
      <c r="F10" s="16">
        <f>COUNTIFS('Test cases'!$B$2:$B$50,$A10,'Test cases'!$K$2:$K$50,"Fail")</f>
        <v/>
      </c>
      <c r="G10" s="16">
        <f>COUNTIFS('Test cases'!$B$2:$B$50,$A10,'Test cases'!$K$2:$K$50,"Blocked")</f>
        <v/>
      </c>
      <c r="H10" s="16">
        <f>B10-E10-F10-G10</f>
        <v/>
      </c>
    </row>
    <row r="11">
      <c r="A11" s="15" t="inlineStr">
        <is>
          <t>False positives - word audit</t>
        </is>
      </c>
      <c r="B11" s="16">
        <f>COUNTIF('Test cases'!$B$2:$B$50,$A11)</f>
        <v/>
      </c>
      <c r="C11" s="16">
        <f>COUNTIFS('Test cases'!$B$2:$B$50,$A11,'Test cases'!$I$2:$I$50,"AUTOMATED*")</f>
        <v/>
      </c>
      <c r="D11" s="16">
        <f>B11-C11</f>
        <v/>
      </c>
      <c r="E11" s="16">
        <f>COUNTIFS('Test cases'!$B$2:$B$50,$A11,'Test cases'!$K$2:$K$50,"Pass")</f>
        <v/>
      </c>
      <c r="F11" s="16">
        <f>COUNTIFS('Test cases'!$B$2:$B$50,$A11,'Test cases'!$K$2:$K$50,"Fail")</f>
        <v/>
      </c>
      <c r="G11" s="16">
        <f>COUNTIFS('Test cases'!$B$2:$B$50,$A11,'Test cases'!$K$2:$K$50,"Blocked")</f>
        <v/>
      </c>
      <c r="H11" s="16">
        <f>B11-E11-F11-G11</f>
        <v/>
      </c>
    </row>
    <row r="12">
      <c r="A12" s="15" t="inlineStr">
        <is>
          <t>Highlight placement</t>
        </is>
      </c>
      <c r="B12" s="16">
        <f>COUNTIF('Test cases'!$B$2:$B$50,$A12)</f>
        <v/>
      </c>
      <c r="C12" s="16">
        <f>COUNTIFS('Test cases'!$B$2:$B$50,$A12,'Test cases'!$I$2:$I$50,"AUTOMATED*")</f>
        <v/>
      </c>
      <c r="D12" s="16">
        <f>B12-C12</f>
        <v/>
      </c>
      <c r="E12" s="16">
        <f>COUNTIFS('Test cases'!$B$2:$B$50,$A12,'Test cases'!$K$2:$K$50,"Pass")</f>
        <v/>
      </c>
      <c r="F12" s="16">
        <f>COUNTIFS('Test cases'!$B$2:$B$50,$A12,'Test cases'!$K$2:$K$50,"Fail")</f>
        <v/>
      </c>
      <c r="G12" s="16">
        <f>COUNTIFS('Test cases'!$B$2:$B$50,$A12,'Test cases'!$K$2:$K$50,"Blocked")</f>
        <v/>
      </c>
      <c r="H12" s="16">
        <f>B12-E12-F12-G12</f>
        <v/>
      </c>
    </row>
    <row r="13">
      <c r="A13" s="15" t="inlineStr">
        <is>
          <t>Severity</t>
        </is>
      </c>
      <c r="B13" s="16">
        <f>COUNTIF('Test cases'!$B$2:$B$50,$A13)</f>
        <v/>
      </c>
      <c r="C13" s="16">
        <f>COUNTIFS('Test cases'!$B$2:$B$50,$A13,'Test cases'!$I$2:$I$50,"AUTOMATED*")</f>
        <v/>
      </c>
      <c r="D13" s="16">
        <f>B13-C13</f>
        <v/>
      </c>
      <c r="E13" s="16">
        <f>COUNTIFS('Test cases'!$B$2:$B$50,$A13,'Test cases'!$K$2:$K$50,"Pass")</f>
        <v/>
      </c>
      <c r="F13" s="16">
        <f>COUNTIFS('Test cases'!$B$2:$B$50,$A13,'Test cases'!$K$2:$K$50,"Fail")</f>
        <v/>
      </c>
      <c r="G13" s="16">
        <f>COUNTIFS('Test cases'!$B$2:$B$50,$A13,'Test cases'!$K$2:$K$50,"Blocked")</f>
        <v/>
      </c>
      <c r="H13" s="16">
        <f>B13-E13-F13-G13</f>
        <v/>
      </c>
    </row>
    <row r="14">
      <c r="A14" s="15" t="inlineStr">
        <is>
          <t>Encoding</t>
        </is>
      </c>
      <c r="B14" s="16">
        <f>COUNTIF('Test cases'!$B$2:$B$50,$A14)</f>
        <v/>
      </c>
      <c r="C14" s="16">
        <f>COUNTIFS('Test cases'!$B$2:$B$50,$A14,'Test cases'!$I$2:$I$50,"AUTOMATED*")</f>
        <v/>
      </c>
      <c r="D14" s="16">
        <f>B14-C14</f>
        <v/>
      </c>
      <c r="E14" s="16">
        <f>COUNTIFS('Test cases'!$B$2:$B$50,$A14,'Test cases'!$K$2:$K$50,"Pass")</f>
        <v/>
      </c>
      <c r="F14" s="16">
        <f>COUNTIFS('Test cases'!$B$2:$B$50,$A14,'Test cases'!$K$2:$K$50,"Fail")</f>
        <v/>
      </c>
      <c r="G14" s="16">
        <f>COUNTIFS('Test cases'!$B$2:$B$50,$A14,'Test cases'!$K$2:$K$50,"Blocked")</f>
        <v/>
      </c>
      <c r="H14" s="16">
        <f>B14-E14-F14-G14</f>
        <v/>
      </c>
    </row>
    <row r="15">
      <c r="A15" s="15" t="inlineStr">
        <is>
          <t>Broken media</t>
        </is>
      </c>
      <c r="B15" s="16">
        <f>COUNTIF('Test cases'!$B$2:$B$50,$A15)</f>
        <v/>
      </c>
      <c r="C15" s="16">
        <f>COUNTIFS('Test cases'!$B$2:$B$50,$A15,'Test cases'!$I$2:$I$50,"AUTOMATED*")</f>
        <v/>
      </c>
      <c r="D15" s="16">
        <f>B15-C15</f>
        <v/>
      </c>
      <c r="E15" s="16">
        <f>COUNTIFS('Test cases'!$B$2:$B$50,$A15,'Test cases'!$K$2:$K$50,"Pass")</f>
        <v/>
      </c>
      <c r="F15" s="16">
        <f>COUNTIFS('Test cases'!$B$2:$B$50,$A15,'Test cases'!$K$2:$K$50,"Fail")</f>
        <v/>
      </c>
      <c r="G15" s="16">
        <f>COUNTIFS('Test cases'!$B$2:$B$50,$A15,'Test cases'!$K$2:$K$50,"Blocked")</f>
        <v/>
      </c>
      <c r="H15" s="16">
        <f>B15-E15-F15-G15</f>
        <v/>
      </c>
    </row>
    <row r="16">
      <c r="A16" s="15" t="inlineStr">
        <is>
          <t>Scroll sync</t>
        </is>
      </c>
      <c r="B16" s="16">
        <f>COUNTIF('Test cases'!$B$2:$B$50,$A16)</f>
        <v/>
      </c>
      <c r="C16" s="16">
        <f>COUNTIFS('Test cases'!$B$2:$B$50,$A16,'Test cases'!$I$2:$I$50,"AUTOMATED*")</f>
        <v/>
      </c>
      <c r="D16" s="16">
        <f>B16-C16</f>
        <v/>
      </c>
      <c r="E16" s="16">
        <f>COUNTIFS('Test cases'!$B$2:$B$50,$A16,'Test cases'!$K$2:$K$50,"Pass")</f>
        <v/>
      </c>
      <c r="F16" s="16">
        <f>COUNTIFS('Test cases'!$B$2:$B$50,$A16,'Test cases'!$K$2:$K$50,"Fail")</f>
        <v/>
      </c>
      <c r="G16" s="16">
        <f>COUNTIFS('Test cases'!$B$2:$B$50,$A16,'Test cases'!$K$2:$K$50,"Blocked")</f>
        <v/>
      </c>
      <c r="H16" s="16">
        <f>B16-E16-F16-G16</f>
        <v/>
      </c>
    </row>
    <row r="17">
      <c r="A17" s="15" t="inlineStr">
        <is>
          <t>AI review</t>
        </is>
      </c>
      <c r="B17" s="16">
        <f>COUNTIF('Test cases'!$B$2:$B$50,$A17)</f>
        <v/>
      </c>
      <c r="C17" s="16">
        <f>COUNTIFS('Test cases'!$B$2:$B$50,$A17,'Test cases'!$I$2:$I$50,"AUTOMATED*")</f>
        <v/>
      </c>
      <c r="D17" s="16">
        <f>B17-C17</f>
        <v/>
      </c>
      <c r="E17" s="16">
        <f>COUNTIFS('Test cases'!$B$2:$B$50,$A17,'Test cases'!$K$2:$K$50,"Pass")</f>
        <v/>
      </c>
      <c r="F17" s="16">
        <f>COUNTIFS('Test cases'!$B$2:$B$50,$A17,'Test cases'!$K$2:$K$50,"Fail")</f>
        <v/>
      </c>
      <c r="G17" s="16">
        <f>COUNTIFS('Test cases'!$B$2:$B$50,$A17,'Test cases'!$K$2:$K$50,"Blocked")</f>
        <v/>
      </c>
      <c r="H17" s="16">
        <f>B17-E17-F17-G17</f>
        <v/>
      </c>
    </row>
    <row r="18">
      <c r="A18" s="15" t="inlineStr">
        <is>
          <t>TOC structure</t>
        </is>
      </c>
      <c r="B18" s="16">
        <f>COUNTIF('Test cases'!$B$2:$B$50,$A18)</f>
        <v/>
      </c>
      <c r="C18" s="16">
        <f>COUNTIFS('Test cases'!$B$2:$B$50,$A18,'Test cases'!$I$2:$I$50,"AUTOMATED*")</f>
        <v/>
      </c>
      <c r="D18" s="16">
        <f>B18-C18</f>
        <v/>
      </c>
      <c r="E18" s="16">
        <f>COUNTIFS('Test cases'!$B$2:$B$50,$A18,'Test cases'!$K$2:$K$50,"Pass")</f>
        <v/>
      </c>
      <c r="F18" s="16">
        <f>COUNTIFS('Test cases'!$B$2:$B$50,$A18,'Test cases'!$K$2:$K$50,"Fail")</f>
        <v/>
      </c>
      <c r="G18" s="16">
        <f>COUNTIFS('Test cases'!$B$2:$B$50,$A18,'Test cases'!$K$2:$K$50,"Blocked")</f>
        <v/>
      </c>
      <c r="H18" s="16">
        <f>B18-E18-F18-G18</f>
        <v/>
      </c>
    </row>
    <row r="19">
      <c r="A19" s="15" t="inlineStr">
        <is>
          <t>Regression</t>
        </is>
      </c>
      <c r="B19" s="16">
        <f>COUNTIF('Test cases'!$B$2:$B$50,$A19)</f>
        <v/>
      </c>
      <c r="C19" s="16">
        <f>COUNTIFS('Test cases'!$B$2:$B$50,$A19,'Test cases'!$I$2:$I$50,"AUTOMATED*")</f>
        <v/>
      </c>
      <c r="D19" s="16">
        <f>B19-C19</f>
        <v/>
      </c>
      <c r="E19" s="16">
        <f>COUNTIFS('Test cases'!$B$2:$B$50,$A19,'Test cases'!$K$2:$K$50,"Pass")</f>
        <v/>
      </c>
      <c r="F19" s="16">
        <f>COUNTIFS('Test cases'!$B$2:$B$50,$A19,'Test cases'!$K$2:$K$50,"Fail")</f>
        <v/>
      </c>
      <c r="G19" s="16">
        <f>COUNTIFS('Test cases'!$B$2:$B$50,$A19,'Test cases'!$K$2:$K$50,"Blocked")</f>
        <v/>
      </c>
      <c r="H19" s="16">
        <f>B19-E19-F19-G19</f>
        <v/>
      </c>
    </row>
    <row r="20">
      <c r="A20" s="17" t="inlineStr">
        <is>
          <t>TOTAL</t>
        </is>
      </c>
      <c r="B20" s="18">
        <f>SUM(B5:B19)</f>
        <v/>
      </c>
      <c r="C20" s="18">
        <f>SUM(C5:C19)</f>
        <v/>
      </c>
      <c r="D20" s="18">
        <f>SUM(D5:D19)</f>
        <v/>
      </c>
      <c r="E20" s="18">
        <f>SUM(E5:E19)</f>
        <v/>
      </c>
      <c r="F20" s="18">
        <f>SUM(F5:F19)</f>
        <v/>
      </c>
      <c r="G20" s="18">
        <f>SUM(G5:G19)</f>
        <v/>
      </c>
      <c r="H20" s="18">
        <f>SUM(H5:H19)</f>
        <v/>
      </c>
    </row>
    <row r="22">
      <c r="A22" s="19" t="inlineStr">
        <is>
          <t>Priority split</t>
        </is>
      </c>
    </row>
    <row r="23">
      <c r="A23" s="20" t="inlineStr">
        <is>
          <t>High</t>
        </is>
      </c>
      <c r="B23" s="21">
        <f>COUNTIF('Test cases'!$D$2:$D$50,$A23)</f>
        <v/>
      </c>
    </row>
    <row r="24">
      <c r="A24" s="20" t="inlineStr">
        <is>
          <t>Medium</t>
        </is>
      </c>
      <c r="B24" s="21">
        <f>COUNTIF('Test cases'!$D$2:$D$50,$A24)</f>
        <v/>
      </c>
    </row>
    <row r="25">
      <c r="A25" s="20" t="inlineStr">
        <is>
          <t>Low</t>
        </is>
      </c>
      <c r="B25" s="21">
        <f>COUNTIF('Test cases'!$D$2:$D$50,$A25)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2026-09-21T05:44:16Z</dcterms:created>
  <dcterms:modified xsi:type="dcterms:W3CDTF">2026-09-21T05:44:16Z</dcterms:modified>
</cp:coreProperties>
</file>